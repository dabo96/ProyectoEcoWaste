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i unidad\Documents\EcoWaste\ProyectoEcoWaste\01 Documentación\01.02 Analisis\"/>
    </mc:Choice>
  </mc:AlternateContent>
  <xr:revisionPtr revIDLastSave="0" documentId="13_ncr:1_{8334ED9B-FEB7-4FDD-BBFE-569F9BE58D0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ETALLE" sheetId="1" r:id="rId1"/>
    <sheet name="RESUMEN" sheetId="2" r:id="rId2"/>
    <sheet name="Hoja1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1" l="1"/>
  <c r="E10" i="1"/>
  <c r="E9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C8" i="2"/>
  <c r="B8" i="2"/>
  <c r="B7" i="2"/>
  <c r="B6" i="2"/>
  <c r="B5" i="2"/>
  <c r="B4" i="2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26" i="1"/>
  <c r="E25" i="1"/>
  <c r="E24" i="1"/>
  <c r="E23" i="1"/>
  <c r="E22" i="1"/>
  <c r="E21" i="1"/>
  <c r="E20" i="1"/>
  <c r="E19" i="1"/>
  <c r="E18" i="1"/>
  <c r="E17" i="1"/>
  <c r="E16" i="1"/>
  <c r="E8" i="1"/>
  <c r="E7" i="1"/>
  <c r="E6" i="1"/>
  <c r="E5" i="1"/>
  <c r="E4" i="1"/>
  <c r="E3" i="1"/>
  <c r="C5" i="2" l="1"/>
  <c r="C4" i="2"/>
  <c r="C6" i="2"/>
  <c r="G3" i="1"/>
  <c r="C7" i="2"/>
  <c r="B9" i="2"/>
  <c r="C9" i="2" l="1"/>
  <c r="D4" i="2" s="1"/>
  <c r="D7" i="2"/>
  <c r="D6" i="2"/>
  <c r="D8" i="2"/>
  <c r="D5" i="2"/>
</calcChain>
</file>

<file path=xl/sharedStrings.xml><?xml version="1.0" encoding="utf-8"?>
<sst xmlns="http://schemas.openxmlformats.org/spreadsheetml/2006/main" count="451" uniqueCount="128">
  <si>
    <t>ANÁLISIS DE PUNTOS DE FUNCIÓN — EcoWaste</t>
  </si>
  <si>
    <t>REQ</t>
  </si>
  <si>
    <t>Tipo</t>
  </si>
  <si>
    <t>Dificultad</t>
  </si>
  <si>
    <t>Puntos</t>
  </si>
  <si>
    <t>TOTAL</t>
  </si>
  <si>
    <t>Es_sub</t>
  </si>
  <si>
    <t>Baja</t>
  </si>
  <si>
    <t>Media</t>
  </si>
  <si>
    <t>Alta</t>
  </si>
  <si>
    <t>EI</t>
  </si>
  <si>
    <t>puntos</t>
  </si>
  <si>
    <t>EO</t>
  </si>
  <si>
    <t>EQ</t>
  </si>
  <si>
    <t>Resumen</t>
  </si>
  <si>
    <t>ILF</t>
  </si>
  <si>
    <t>Filas RF (azul): 10</t>
  </si>
  <si>
    <t>EIF</t>
  </si>
  <si>
    <t>Sub-tareas: 26</t>
  </si>
  <si>
    <t>El total suma solo sub-tareas</t>
  </si>
  <si>
    <t>Resumen por tipo de función</t>
  </si>
  <si>
    <t>Cantidad</t>
  </si>
  <si>
    <t>% del total</t>
  </si>
  <si>
    <t>100%</t>
  </si>
  <si>
    <t>Registro de empresa</t>
  </si>
  <si>
    <t>Registro de persona natural</t>
  </si>
  <si>
    <t>Perfil de usuario</t>
  </si>
  <si>
    <t>Inicio de sesión</t>
  </si>
  <si>
    <t>Hacer publicación</t>
  </si>
  <si>
    <t>Búsqueda de materiales</t>
  </si>
  <si>
    <t>Filtrado y ordenamiento</t>
  </si>
  <si>
    <t>Envío de mensajes</t>
  </si>
  <si>
    <t>Envío de notificaciones</t>
  </si>
  <si>
    <t>Solicitud de compra</t>
  </si>
  <si>
    <t>Estado de solicitud</t>
  </si>
  <si>
    <t>Requerimiento Funcional</t>
  </si>
  <si>
    <t>Derivación</t>
  </si>
  <si>
    <t>Justificación</t>
  </si>
  <si>
    <t>Complejidad (Sugerida)</t>
  </si>
  <si>
    <t>Formulario de registro</t>
  </si>
  <si>
    <t>Captura datos de la empresa</t>
  </si>
  <si>
    <t>Validación de RUC y correo</t>
  </si>
  <si>
    <t>Consulta para verificar existencia</t>
  </si>
  <si>
    <t>Registrar empresa en BD</t>
  </si>
  <si>
    <t>INSERT de empresa</t>
  </si>
  <si>
    <t>Actualizar empresa</t>
  </si>
  <si>
    <t>UPDATE de empresa</t>
  </si>
  <si>
    <t>Eliminar empresa</t>
  </si>
  <si>
    <t>DELETE lógico</t>
  </si>
  <si>
    <t>Confirmación de registro</t>
  </si>
  <si>
    <t>Mensaje de confirmación</t>
  </si>
  <si>
    <t>Captura información personal</t>
  </si>
  <si>
    <t>Validación de DNI y correo</t>
  </si>
  <si>
    <t>Consulta de duplicidad</t>
  </si>
  <si>
    <t>Registrar usuario</t>
  </si>
  <si>
    <t>INSERT</t>
  </si>
  <si>
    <t>Actualizar información</t>
  </si>
  <si>
    <t>UPDATE</t>
  </si>
  <si>
    <t>Eliminar cuenta</t>
  </si>
  <si>
    <t>Mensaje al usuario</t>
  </si>
  <si>
    <t>Visualizar perfil</t>
  </si>
  <si>
    <t>Consulta de datos</t>
  </si>
  <si>
    <t>Editar perfil</t>
  </si>
  <si>
    <t>Formulario de edición</t>
  </si>
  <si>
    <t>Actualizar perfil</t>
  </si>
  <si>
    <t>Cambiar contraseña</t>
  </si>
  <si>
    <t>Entrada de nueva contraseña</t>
  </si>
  <si>
    <t>Actualizar contraseña</t>
  </si>
  <si>
    <t>Formulario Login</t>
  </si>
  <si>
    <t>Captura credenciales</t>
  </si>
  <si>
    <t>Validar credenciales</t>
  </si>
  <si>
    <t>Consulta de usuario</t>
  </si>
  <si>
    <t>Generar sesión</t>
  </si>
  <si>
    <t>Devuelve token o sesión</t>
  </si>
  <si>
    <t>Consultar rol</t>
  </si>
  <si>
    <t>Consulta permisos</t>
  </si>
  <si>
    <t>Formulario publicación</t>
  </si>
  <si>
    <t>Registro de material</t>
  </si>
  <si>
    <t>Registrar publicación</t>
  </si>
  <si>
    <t>Editar publicación</t>
  </si>
  <si>
    <t>Eliminar publicación</t>
  </si>
  <si>
    <t>Adjuntar imágenes</t>
  </si>
  <si>
    <t>Carga de archivos</t>
  </si>
  <si>
    <t>Mostrar publicación creada</t>
  </si>
  <si>
    <t>Confirmación</t>
  </si>
  <si>
    <t>Buscar por nombre</t>
  </si>
  <si>
    <t>Consulta BD</t>
  </si>
  <si>
    <t>Buscar por categoría</t>
  </si>
  <si>
    <t>Consulta</t>
  </si>
  <si>
    <t>Buscar por ubicación</t>
  </si>
  <si>
    <t>Mostrar resultados</t>
  </si>
  <si>
    <t>Lista de resultados</t>
  </si>
  <si>
    <t>Filtrar por categoría</t>
  </si>
  <si>
    <t>Filtrar por precio</t>
  </si>
  <si>
    <t>Ordenar resultados</t>
  </si>
  <si>
    <t>Consulta ordenada</t>
  </si>
  <si>
    <t>Mostrar lista filtrada</t>
  </si>
  <si>
    <t>Resultado</t>
  </si>
  <si>
    <t>Formulario mensaje</t>
  </si>
  <si>
    <t>Captura mensaje</t>
  </si>
  <si>
    <t>Registrar mensaje</t>
  </si>
  <si>
    <t>Consultar conversación</t>
  </si>
  <si>
    <t>Consulta historial</t>
  </si>
  <si>
    <t>Mostrar conversación</t>
  </si>
  <si>
    <t>Presentación</t>
  </si>
  <si>
    <t>Eliminar mensaje</t>
  </si>
  <si>
    <t>Registrar notificación</t>
  </si>
  <si>
    <t>Consultar notificaciones</t>
  </si>
  <si>
    <t>Mostrar notificación</t>
  </si>
  <si>
    <t>Visualización</t>
  </si>
  <si>
    <t>Marcar como leída</t>
  </si>
  <si>
    <t>Enviar Push/Correo</t>
  </si>
  <si>
    <t>Servicio externo</t>
  </si>
  <si>
    <t>Formulario solicitud</t>
  </si>
  <si>
    <t>Registro de solicitud</t>
  </si>
  <si>
    <t>Registrar solicitud</t>
  </si>
  <si>
    <t>Consultar solicitud</t>
  </si>
  <si>
    <t>Actualizar solicitud</t>
  </si>
  <si>
    <t>Confirmación de solicitud</t>
  </si>
  <si>
    <t>Mensaje</t>
  </si>
  <si>
    <t>Consultar estado</t>
  </si>
  <si>
    <t>Actualizar estado</t>
  </si>
  <si>
    <t>Notificar cambio de estado</t>
  </si>
  <si>
    <t>Notificación</t>
  </si>
  <si>
    <t>Enviar notificación Push</t>
  </si>
  <si>
    <t>EDICION DE EMPRESA</t>
  </si>
  <si>
    <t>FORMULARIO DE CONSULTA</t>
  </si>
  <si>
    <t>Obtener Datos de Usuario+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</si>
</sst>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b/>
      <sz val="11"/>
      <color rgb="FFFFFFFF"/>
      <name val="Arial"/>
      <family val="2"/>
    </font>
    <font>
      <b/>
      <sz val="11"/>
      <color rgb="FF1F3864"/>
      <name val="Arial"/>
      <family val="2"/>
    </font>
    <font>
      <sz val="10"/>
      <name val="Arial"/>
      <family val="2"/>
    </font>
    <font>
      <i/>
      <sz val="9"/>
      <color rgb="FF666666"/>
      <name val="Arial"/>
      <family val="2"/>
    </font>
    <font>
      <b/>
      <sz val="10"/>
      <color rgb="FF1F3864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charset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1F3864"/>
      </patternFill>
    </fill>
    <fill>
      <patternFill patternType="solid">
        <fgColor rgb="FFFFD966"/>
        <bgColor rgb="FFFFFF99"/>
      </patternFill>
    </fill>
    <fill>
      <patternFill patternType="solid">
        <fgColor rgb="FFFCE4D6"/>
        <bgColor rgb="FFD9E1F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5" borderId="3" xfId="0" applyFill="1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zoomScale="85" zoomScaleNormal="85" workbookViewId="0">
      <pane ySplit="2" topLeftCell="A38" activePane="bottomLeft" state="frozen"/>
      <selection pane="bottomLeft" activeCell="B51" sqref="B51"/>
    </sheetView>
  </sheetViews>
  <sheetFormatPr baseColWidth="10" defaultColWidth="8.6640625" defaultRowHeight="14.4" x14ac:dyDescent="0.3"/>
  <cols>
    <col min="1" max="1" width="17.6640625" style="22" customWidth="1"/>
    <col min="2" max="2" width="55" customWidth="1"/>
    <col min="3" max="3" width="9" customWidth="1"/>
    <col min="4" max="4" width="12" customWidth="1"/>
    <col min="5" max="5" width="10" customWidth="1"/>
    <col min="6" max="6" width="3" customWidth="1"/>
    <col min="7" max="7" width="14" customWidth="1"/>
    <col min="8" max="8" width="3" hidden="1" customWidth="1"/>
    <col min="9" max="9" width="3" customWidth="1"/>
    <col min="10" max="13" width="8" customWidth="1"/>
  </cols>
  <sheetData>
    <row r="1" spans="1:13" ht="17.399999999999999" x14ac:dyDescent="0.3">
      <c r="B1" s="27" t="s">
        <v>0</v>
      </c>
      <c r="C1" s="27"/>
      <c r="D1" s="27"/>
      <c r="E1" s="27"/>
    </row>
    <row r="2" spans="1:13" ht="83.4" thickBot="1" x14ac:dyDescent="0.35">
      <c r="A2" s="23"/>
      <c r="B2" s="13" t="s">
        <v>1</v>
      </c>
      <c r="C2" s="13" t="s">
        <v>2</v>
      </c>
      <c r="D2" s="13" t="s">
        <v>3</v>
      </c>
      <c r="E2" s="13" t="s">
        <v>4</v>
      </c>
      <c r="G2" s="1" t="s">
        <v>5</v>
      </c>
      <c r="H2" s="1" t="s">
        <v>6</v>
      </c>
      <c r="J2" s="1" t="s">
        <v>2</v>
      </c>
      <c r="K2" s="1" t="s">
        <v>7</v>
      </c>
      <c r="L2" s="1" t="s">
        <v>8</v>
      </c>
      <c r="M2" s="1" t="s">
        <v>9</v>
      </c>
    </row>
    <row r="3" spans="1:13" ht="17.399999999999999" x14ac:dyDescent="0.3">
      <c r="A3" s="24" t="s">
        <v>24</v>
      </c>
      <c r="B3" s="29" t="s">
        <v>39</v>
      </c>
      <c r="C3" s="14" t="s">
        <v>10</v>
      </c>
      <c r="D3" s="14" t="s">
        <v>7</v>
      </c>
      <c r="E3" s="20">
        <f t="shared" ref="E3:E74" si="0">INDEX($K$3:$M$7,MATCH(C3,$J$3:$J$7,0),IF(UPPER(D3)="BAJA",1,IF(UPPER(D3)="MEDIA",2,3)))</f>
        <v>3</v>
      </c>
      <c r="G3" s="2">
        <f>SUM(E4,E5,E6,E8,E16,E17,E19,E20,E22,E23,E24,E26,E38,E40,E41,E43,E44,E46,E47,E48,E50,E51,E52,E54,E55,E56)</f>
        <v>124</v>
      </c>
      <c r="H3">
        <v>0</v>
      </c>
      <c r="J3" s="3" t="s">
        <v>10</v>
      </c>
      <c r="K3" s="3">
        <v>3</v>
      </c>
      <c r="L3" s="3">
        <v>4</v>
      </c>
      <c r="M3" s="3">
        <v>6</v>
      </c>
    </row>
    <row r="4" spans="1:13" x14ac:dyDescent="0.3">
      <c r="A4" s="25"/>
      <c r="B4" s="30" t="s">
        <v>41</v>
      </c>
      <c r="C4" s="12" t="s">
        <v>13</v>
      </c>
      <c r="D4" s="12" t="s">
        <v>8</v>
      </c>
      <c r="E4" s="16">
        <f t="shared" si="0"/>
        <v>4</v>
      </c>
      <c r="G4" s="4" t="s">
        <v>11</v>
      </c>
      <c r="H4">
        <v>1</v>
      </c>
      <c r="J4" s="3" t="s">
        <v>12</v>
      </c>
      <c r="K4" s="3">
        <v>4</v>
      </c>
      <c r="L4" s="3">
        <v>5</v>
      </c>
      <c r="M4" s="3">
        <v>7</v>
      </c>
    </row>
    <row r="5" spans="1:13" x14ac:dyDescent="0.3">
      <c r="A5" s="25"/>
      <c r="B5" s="30" t="s">
        <v>43</v>
      </c>
      <c r="C5" s="12" t="s">
        <v>15</v>
      </c>
      <c r="D5" s="12" t="s">
        <v>7</v>
      </c>
      <c r="E5" s="16">
        <f t="shared" si="0"/>
        <v>7</v>
      </c>
      <c r="H5">
        <v>1</v>
      </c>
      <c r="J5" s="3" t="s">
        <v>13</v>
      </c>
      <c r="K5" s="3">
        <v>3</v>
      </c>
      <c r="L5" s="3">
        <v>4</v>
      </c>
      <c r="M5" s="3">
        <v>6</v>
      </c>
    </row>
    <row r="6" spans="1:13" ht="15" customHeight="1" x14ac:dyDescent="0.3">
      <c r="A6" s="25"/>
      <c r="B6" s="12" t="s">
        <v>45</v>
      </c>
      <c r="C6" s="12" t="s">
        <v>15</v>
      </c>
      <c r="D6" s="12" t="s">
        <v>7</v>
      </c>
      <c r="E6" s="16">
        <f t="shared" si="0"/>
        <v>7</v>
      </c>
      <c r="G6" s="5" t="s">
        <v>14</v>
      </c>
      <c r="H6">
        <v>1</v>
      </c>
      <c r="J6" s="3" t="s">
        <v>15</v>
      </c>
      <c r="K6" s="3">
        <v>7</v>
      </c>
      <c r="L6" s="3">
        <v>10</v>
      </c>
      <c r="M6" s="3">
        <v>15</v>
      </c>
    </row>
    <row r="7" spans="1:13" x14ac:dyDescent="0.3">
      <c r="A7" s="25"/>
      <c r="B7" s="12" t="s">
        <v>47</v>
      </c>
      <c r="C7" s="12" t="s">
        <v>15</v>
      </c>
      <c r="D7" s="12" t="s">
        <v>7</v>
      </c>
      <c r="E7" s="19">
        <f t="shared" si="0"/>
        <v>7</v>
      </c>
      <c r="G7" s="6" t="s">
        <v>16</v>
      </c>
      <c r="H7">
        <v>0</v>
      </c>
      <c r="J7" s="3" t="s">
        <v>17</v>
      </c>
      <c r="K7" s="3">
        <v>5</v>
      </c>
      <c r="L7" s="3">
        <v>7</v>
      </c>
      <c r="M7" s="3">
        <v>10</v>
      </c>
    </row>
    <row r="8" spans="1:13" ht="15" customHeight="1" thickBot="1" x14ac:dyDescent="0.35">
      <c r="A8" s="26"/>
      <c r="B8" s="17" t="s">
        <v>49</v>
      </c>
      <c r="C8" s="17" t="s">
        <v>12</v>
      </c>
      <c r="D8" s="17" t="s">
        <v>7</v>
      </c>
      <c r="E8" s="18">
        <f t="shared" si="0"/>
        <v>4</v>
      </c>
      <c r="G8" s="6" t="s">
        <v>18</v>
      </c>
      <c r="H8">
        <v>1</v>
      </c>
    </row>
    <row r="9" spans="1:13" ht="15" customHeight="1" x14ac:dyDescent="0.3">
      <c r="A9" s="34" t="s">
        <v>125</v>
      </c>
      <c r="B9" s="29" t="s">
        <v>39</v>
      </c>
      <c r="C9" s="14" t="s">
        <v>10</v>
      </c>
      <c r="D9" s="14" t="s">
        <v>7</v>
      </c>
      <c r="E9" s="20">
        <f t="shared" ref="E9:E11" si="1">INDEX($K$3:$M$7,MATCH(C9,$J$3:$J$7,0),IF(UPPER(D9)="BAJA",1,IF(UPPER(D9)="MEDIA",2,3)))</f>
        <v>3</v>
      </c>
      <c r="G9" s="6"/>
    </row>
    <row r="10" spans="1:13" ht="15" customHeight="1" x14ac:dyDescent="0.3">
      <c r="A10" s="33"/>
      <c r="B10" s="30" t="s">
        <v>41</v>
      </c>
      <c r="C10" s="12" t="s">
        <v>13</v>
      </c>
      <c r="D10" s="12" t="s">
        <v>8</v>
      </c>
      <c r="E10" s="16">
        <f t="shared" si="1"/>
        <v>4</v>
      </c>
      <c r="G10" s="6"/>
    </row>
    <row r="11" spans="1:13" ht="15" customHeight="1" x14ac:dyDescent="0.3">
      <c r="A11" s="33"/>
      <c r="B11" s="30" t="s">
        <v>43</v>
      </c>
      <c r="C11" s="12" t="s">
        <v>15</v>
      </c>
      <c r="D11" s="12" t="s">
        <v>7</v>
      </c>
      <c r="E11" s="16">
        <f t="shared" si="1"/>
        <v>7</v>
      </c>
      <c r="G11" s="6"/>
    </row>
    <row r="12" spans="1:13" ht="15" customHeight="1" x14ac:dyDescent="0.3">
      <c r="A12" s="31"/>
      <c r="B12" s="32"/>
      <c r="C12" s="32"/>
      <c r="D12" s="32"/>
      <c r="E12" s="16"/>
      <c r="G12" s="6"/>
    </row>
    <row r="13" spans="1:13" ht="15" customHeight="1" x14ac:dyDescent="0.3">
      <c r="A13" s="31"/>
      <c r="B13" s="32"/>
      <c r="C13" s="32"/>
      <c r="D13" s="32"/>
      <c r="E13" s="16"/>
      <c r="G13" s="6"/>
    </row>
    <row r="14" spans="1:13" ht="15" customHeight="1" x14ac:dyDescent="0.3">
      <c r="A14" s="31"/>
      <c r="B14" s="32"/>
      <c r="C14" s="32"/>
      <c r="D14" s="32"/>
      <c r="E14" s="16"/>
      <c r="G14" s="6"/>
    </row>
    <row r="15" spans="1:13" ht="15" customHeight="1" thickBot="1" x14ac:dyDescent="0.35">
      <c r="A15" s="31"/>
      <c r="B15" s="32"/>
      <c r="C15" s="32"/>
      <c r="D15" s="32"/>
      <c r="E15" s="16"/>
      <c r="G15" s="6"/>
    </row>
    <row r="16" spans="1:13" x14ac:dyDescent="0.3">
      <c r="A16" s="24" t="s">
        <v>25</v>
      </c>
      <c r="B16" s="14" t="s">
        <v>39</v>
      </c>
      <c r="C16" s="14" t="s">
        <v>10</v>
      </c>
      <c r="D16" s="14" t="s">
        <v>7</v>
      </c>
      <c r="E16" s="15">
        <f t="shared" si="0"/>
        <v>3</v>
      </c>
      <c r="G16" s="7" t="s">
        <v>19</v>
      </c>
      <c r="H16">
        <v>1</v>
      </c>
    </row>
    <row r="17" spans="1:8" ht="15" customHeight="1" x14ac:dyDescent="0.3">
      <c r="A17" s="25"/>
      <c r="B17" s="12" t="s">
        <v>52</v>
      </c>
      <c r="C17" s="12" t="s">
        <v>13</v>
      </c>
      <c r="D17" s="12" t="s">
        <v>8</v>
      </c>
      <c r="E17" s="16">
        <f t="shared" si="0"/>
        <v>4</v>
      </c>
      <c r="H17">
        <v>1</v>
      </c>
    </row>
    <row r="18" spans="1:8" x14ac:dyDescent="0.3">
      <c r="A18" s="25"/>
      <c r="B18" s="12" t="s">
        <v>54</v>
      </c>
      <c r="C18" s="12" t="s">
        <v>15</v>
      </c>
      <c r="D18" s="12" t="s">
        <v>7</v>
      </c>
      <c r="E18" s="19">
        <f t="shared" si="0"/>
        <v>7</v>
      </c>
      <c r="H18">
        <v>0</v>
      </c>
    </row>
    <row r="19" spans="1:8" ht="15" customHeight="1" x14ac:dyDescent="0.3">
      <c r="A19" s="25"/>
      <c r="B19" s="12" t="s">
        <v>56</v>
      </c>
      <c r="C19" s="12" t="s">
        <v>15</v>
      </c>
      <c r="D19" s="12" t="s">
        <v>7</v>
      </c>
      <c r="E19" s="16">
        <f t="shared" si="0"/>
        <v>7</v>
      </c>
      <c r="H19">
        <v>1</v>
      </c>
    </row>
    <row r="20" spans="1:8" ht="15" customHeight="1" x14ac:dyDescent="0.3">
      <c r="A20" s="25"/>
      <c r="B20" s="12" t="s">
        <v>58</v>
      </c>
      <c r="C20" s="12" t="s">
        <v>15</v>
      </c>
      <c r="D20" s="12" t="s">
        <v>7</v>
      </c>
      <c r="E20" s="16">
        <f t="shared" si="0"/>
        <v>7</v>
      </c>
      <c r="H20">
        <v>1</v>
      </c>
    </row>
    <row r="21" spans="1:8" ht="15" thickBot="1" x14ac:dyDescent="0.35">
      <c r="A21" s="26"/>
      <c r="B21" s="17" t="s">
        <v>49</v>
      </c>
      <c r="C21" s="17" t="s">
        <v>12</v>
      </c>
      <c r="D21" s="17" t="s">
        <v>7</v>
      </c>
      <c r="E21" s="21">
        <f t="shared" si="0"/>
        <v>4</v>
      </c>
      <c r="H21">
        <v>0</v>
      </c>
    </row>
    <row r="22" spans="1:8" ht="15" customHeight="1" x14ac:dyDescent="0.3">
      <c r="A22" s="24" t="s">
        <v>26</v>
      </c>
      <c r="B22" s="14" t="s">
        <v>60</v>
      </c>
      <c r="C22" s="14" t="s">
        <v>13</v>
      </c>
      <c r="D22" s="14" t="s">
        <v>7</v>
      </c>
      <c r="E22" s="15">
        <f t="shared" si="0"/>
        <v>3</v>
      </c>
      <c r="H22">
        <v>1</v>
      </c>
    </row>
    <row r="23" spans="1:8" x14ac:dyDescent="0.3">
      <c r="A23" s="25"/>
      <c r="B23" s="12" t="s">
        <v>62</v>
      </c>
      <c r="C23" s="12" t="s">
        <v>10</v>
      </c>
      <c r="D23" s="12" t="s">
        <v>7</v>
      </c>
      <c r="E23" s="16">
        <f t="shared" si="0"/>
        <v>3</v>
      </c>
      <c r="H23">
        <v>1</v>
      </c>
    </row>
    <row r="24" spans="1:8" x14ac:dyDescent="0.3">
      <c r="A24" s="25"/>
      <c r="B24" s="12" t="s">
        <v>64</v>
      </c>
      <c r="C24" s="12" t="s">
        <v>15</v>
      </c>
      <c r="D24" s="12" t="s">
        <v>7</v>
      </c>
      <c r="E24" s="16">
        <f t="shared" si="0"/>
        <v>7</v>
      </c>
      <c r="H24">
        <v>1</v>
      </c>
    </row>
    <row r="25" spans="1:8" x14ac:dyDescent="0.3">
      <c r="A25" s="25"/>
      <c r="B25" s="12" t="s">
        <v>65</v>
      </c>
      <c r="C25" s="12" t="s">
        <v>10</v>
      </c>
      <c r="D25" s="12" t="s">
        <v>8</v>
      </c>
      <c r="E25" s="19">
        <f t="shared" si="0"/>
        <v>4</v>
      </c>
      <c r="H25">
        <v>0</v>
      </c>
    </row>
    <row r="26" spans="1:8" ht="15" thickBot="1" x14ac:dyDescent="0.35">
      <c r="A26" s="26"/>
      <c r="B26" s="17" t="s">
        <v>67</v>
      </c>
      <c r="C26" s="17" t="s">
        <v>15</v>
      </c>
      <c r="D26" s="17" t="s">
        <v>8</v>
      </c>
      <c r="E26" s="18">
        <f t="shared" si="0"/>
        <v>10</v>
      </c>
      <c r="H26">
        <v>1</v>
      </c>
    </row>
    <row r="27" spans="1:8" x14ac:dyDescent="0.3">
      <c r="A27" s="24" t="s">
        <v>26</v>
      </c>
      <c r="B27" s="32"/>
      <c r="C27" s="32"/>
      <c r="D27" s="32"/>
      <c r="E27" s="16"/>
    </row>
    <row r="28" spans="1:8" x14ac:dyDescent="0.3">
      <c r="A28" s="25"/>
      <c r="B28" s="32" t="s">
        <v>126</v>
      </c>
      <c r="C28" s="32"/>
      <c r="D28" s="32"/>
      <c r="E28" s="16"/>
    </row>
    <row r="29" spans="1:8" x14ac:dyDescent="0.3">
      <c r="A29" s="25"/>
      <c r="B29" s="32" t="s">
        <v>127</v>
      </c>
      <c r="C29" s="32"/>
      <c r="D29" s="32"/>
      <c r="E29" s="16"/>
    </row>
    <row r="30" spans="1:8" x14ac:dyDescent="0.3">
      <c r="A30" s="25"/>
      <c r="B30" s="32"/>
      <c r="C30" s="32"/>
      <c r="D30" s="32"/>
      <c r="E30" s="16"/>
    </row>
    <row r="31" spans="1:8" ht="15" thickBot="1" x14ac:dyDescent="0.35">
      <c r="A31" s="26"/>
      <c r="B31" s="32"/>
      <c r="C31" s="32"/>
      <c r="D31" s="32"/>
      <c r="E31" s="16"/>
    </row>
    <row r="32" spans="1:8" x14ac:dyDescent="0.3">
      <c r="A32" s="31"/>
      <c r="B32" s="32"/>
      <c r="C32" s="32"/>
      <c r="D32" s="32"/>
      <c r="E32" s="16"/>
    </row>
    <row r="33" spans="1:8" x14ac:dyDescent="0.3">
      <c r="A33" s="31"/>
      <c r="B33" s="32"/>
      <c r="C33" s="32"/>
      <c r="D33" s="32"/>
      <c r="E33" s="16"/>
    </row>
    <row r="34" spans="1:8" x14ac:dyDescent="0.3">
      <c r="A34" s="31"/>
      <c r="B34" s="32"/>
      <c r="C34" s="32"/>
      <c r="D34" s="32"/>
      <c r="E34" s="16"/>
    </row>
    <row r="35" spans="1:8" x14ac:dyDescent="0.3">
      <c r="A35" s="31"/>
      <c r="B35" s="32"/>
      <c r="C35" s="32"/>
      <c r="D35" s="32"/>
      <c r="E35" s="16"/>
    </row>
    <row r="36" spans="1:8" x14ac:dyDescent="0.3">
      <c r="A36" s="31"/>
      <c r="B36" s="32"/>
      <c r="C36" s="32"/>
      <c r="D36" s="32"/>
      <c r="E36" s="16"/>
    </row>
    <row r="37" spans="1:8" ht="15" thickBot="1" x14ac:dyDescent="0.35">
      <c r="A37" s="31"/>
      <c r="B37" s="32"/>
      <c r="C37" s="32"/>
      <c r="D37" s="32"/>
      <c r="E37" s="16"/>
    </row>
    <row r="38" spans="1:8" x14ac:dyDescent="0.3">
      <c r="A38" s="24" t="s">
        <v>27</v>
      </c>
      <c r="B38" s="14" t="s">
        <v>68</v>
      </c>
      <c r="C38" s="14" t="s">
        <v>10</v>
      </c>
      <c r="D38" s="14" t="s">
        <v>7</v>
      </c>
      <c r="E38" s="15">
        <f t="shared" si="0"/>
        <v>3</v>
      </c>
      <c r="H38">
        <v>1</v>
      </c>
    </row>
    <row r="39" spans="1:8" x14ac:dyDescent="0.3">
      <c r="A39" s="25"/>
      <c r="B39" s="12" t="s">
        <v>70</v>
      </c>
      <c r="C39" s="12" t="s">
        <v>13</v>
      </c>
      <c r="D39" s="12" t="s">
        <v>8</v>
      </c>
      <c r="E39" s="19">
        <f t="shared" si="0"/>
        <v>4</v>
      </c>
      <c r="H39">
        <v>0</v>
      </c>
    </row>
    <row r="40" spans="1:8" x14ac:dyDescent="0.3">
      <c r="A40" s="25"/>
      <c r="B40" s="12" t="s">
        <v>72</v>
      </c>
      <c r="C40" s="12" t="s">
        <v>12</v>
      </c>
      <c r="D40" s="12" t="s">
        <v>8</v>
      </c>
      <c r="E40" s="16">
        <f t="shared" si="0"/>
        <v>5</v>
      </c>
      <c r="H40">
        <v>1</v>
      </c>
    </row>
    <row r="41" spans="1:8" ht="15" thickBot="1" x14ac:dyDescent="0.35">
      <c r="A41" s="26"/>
      <c r="B41" s="17" t="s">
        <v>74</v>
      </c>
      <c r="C41" s="17" t="s">
        <v>13</v>
      </c>
      <c r="D41" s="17" t="s">
        <v>7</v>
      </c>
      <c r="E41" s="18">
        <f t="shared" si="0"/>
        <v>3</v>
      </c>
      <c r="H41">
        <v>1</v>
      </c>
    </row>
    <row r="42" spans="1:8" x14ac:dyDescent="0.3">
      <c r="A42" s="24" t="s">
        <v>28</v>
      </c>
      <c r="B42" s="14" t="s">
        <v>76</v>
      </c>
      <c r="C42" s="14" t="s">
        <v>10</v>
      </c>
      <c r="D42" s="14" t="s">
        <v>7</v>
      </c>
      <c r="E42" s="20">
        <f t="shared" si="0"/>
        <v>3</v>
      </c>
      <c r="H42">
        <v>0</v>
      </c>
    </row>
    <row r="43" spans="1:8" x14ac:dyDescent="0.3">
      <c r="A43" s="25"/>
      <c r="B43" s="12" t="s">
        <v>78</v>
      </c>
      <c r="C43" s="12" t="s">
        <v>15</v>
      </c>
      <c r="D43" s="12" t="s">
        <v>7</v>
      </c>
      <c r="E43" s="16">
        <f t="shared" si="0"/>
        <v>7</v>
      </c>
      <c r="H43">
        <v>1</v>
      </c>
    </row>
    <row r="44" spans="1:8" x14ac:dyDescent="0.3">
      <c r="A44" s="25"/>
      <c r="B44" s="12" t="s">
        <v>79</v>
      </c>
      <c r="C44" s="12" t="s">
        <v>15</v>
      </c>
      <c r="D44" s="12" t="s">
        <v>7</v>
      </c>
      <c r="E44" s="16">
        <f t="shared" si="0"/>
        <v>7</v>
      </c>
      <c r="H44">
        <v>1</v>
      </c>
    </row>
    <row r="45" spans="1:8" x14ac:dyDescent="0.3">
      <c r="A45" s="25"/>
      <c r="B45" s="12" t="s">
        <v>80</v>
      </c>
      <c r="C45" s="12" t="s">
        <v>15</v>
      </c>
      <c r="D45" s="12" t="s">
        <v>7</v>
      </c>
      <c r="E45" s="19">
        <f t="shared" si="0"/>
        <v>7</v>
      </c>
      <c r="H45">
        <v>0</v>
      </c>
    </row>
    <row r="46" spans="1:8" x14ac:dyDescent="0.3">
      <c r="A46" s="25"/>
      <c r="B46" s="12" t="s">
        <v>81</v>
      </c>
      <c r="C46" s="12" t="s">
        <v>10</v>
      </c>
      <c r="D46" s="12" t="s">
        <v>8</v>
      </c>
      <c r="E46" s="16">
        <f t="shared" si="0"/>
        <v>4</v>
      </c>
      <c r="H46">
        <v>1</v>
      </c>
    </row>
    <row r="47" spans="1:8" ht="15" thickBot="1" x14ac:dyDescent="0.35">
      <c r="A47" s="26"/>
      <c r="B47" s="17" t="s">
        <v>83</v>
      </c>
      <c r="C47" s="17" t="s">
        <v>12</v>
      </c>
      <c r="D47" s="17" t="s">
        <v>7</v>
      </c>
      <c r="E47" s="18">
        <f t="shared" si="0"/>
        <v>4</v>
      </c>
      <c r="H47">
        <v>1</v>
      </c>
    </row>
    <row r="48" spans="1:8" x14ac:dyDescent="0.3">
      <c r="A48" s="24" t="s">
        <v>29</v>
      </c>
      <c r="B48" s="14" t="s">
        <v>85</v>
      </c>
      <c r="C48" s="14" t="s">
        <v>13</v>
      </c>
      <c r="D48" s="14" t="s">
        <v>7</v>
      </c>
      <c r="E48" s="15">
        <f t="shared" si="0"/>
        <v>3</v>
      </c>
      <c r="H48">
        <v>1</v>
      </c>
    </row>
    <row r="49" spans="1:8" x14ac:dyDescent="0.3">
      <c r="A49" s="25"/>
      <c r="B49" s="12" t="s">
        <v>87</v>
      </c>
      <c r="C49" s="12" t="s">
        <v>13</v>
      </c>
      <c r="D49" s="12" t="s">
        <v>7</v>
      </c>
      <c r="E49" s="19">
        <f t="shared" si="0"/>
        <v>3</v>
      </c>
      <c r="H49">
        <v>0</v>
      </c>
    </row>
    <row r="50" spans="1:8" x14ac:dyDescent="0.3">
      <c r="A50" s="25"/>
      <c r="B50" s="12" t="s">
        <v>89</v>
      </c>
      <c r="C50" s="12" t="s">
        <v>13</v>
      </c>
      <c r="D50" s="12" t="s">
        <v>8</v>
      </c>
      <c r="E50" s="16">
        <f t="shared" si="0"/>
        <v>4</v>
      </c>
      <c r="H50">
        <v>1</v>
      </c>
    </row>
    <row r="51" spans="1:8" ht="15" thickBot="1" x14ac:dyDescent="0.35">
      <c r="A51" s="26"/>
      <c r="B51" s="17" t="s">
        <v>90</v>
      </c>
      <c r="C51" s="17" t="s">
        <v>12</v>
      </c>
      <c r="D51" s="17" t="s">
        <v>8</v>
      </c>
      <c r="E51" s="18">
        <f t="shared" si="0"/>
        <v>5</v>
      </c>
      <c r="H51">
        <v>1</v>
      </c>
    </row>
    <row r="52" spans="1:8" x14ac:dyDescent="0.3">
      <c r="A52" s="24" t="s">
        <v>30</v>
      </c>
      <c r="B52" s="14" t="s">
        <v>92</v>
      </c>
      <c r="C52" s="14" t="s">
        <v>13</v>
      </c>
      <c r="D52" s="14" t="s">
        <v>7</v>
      </c>
      <c r="E52" s="15">
        <f t="shared" si="0"/>
        <v>3</v>
      </c>
      <c r="H52">
        <v>1</v>
      </c>
    </row>
    <row r="53" spans="1:8" x14ac:dyDescent="0.3">
      <c r="A53" s="25"/>
      <c r="B53" s="12" t="s">
        <v>93</v>
      </c>
      <c r="C53" s="12" t="s">
        <v>13</v>
      </c>
      <c r="D53" s="12" t="s">
        <v>7</v>
      </c>
      <c r="E53" s="19">
        <f t="shared" si="0"/>
        <v>3</v>
      </c>
      <c r="H53">
        <v>0</v>
      </c>
    </row>
    <row r="54" spans="1:8" x14ac:dyDescent="0.3">
      <c r="A54" s="25"/>
      <c r="B54" s="12" t="s">
        <v>94</v>
      </c>
      <c r="C54" s="12" t="s">
        <v>13</v>
      </c>
      <c r="D54" s="12" t="s">
        <v>7</v>
      </c>
      <c r="E54" s="16">
        <f t="shared" si="0"/>
        <v>3</v>
      </c>
      <c r="H54">
        <v>1</v>
      </c>
    </row>
    <row r="55" spans="1:8" ht="15" thickBot="1" x14ac:dyDescent="0.35">
      <c r="A55" s="26"/>
      <c r="B55" s="17" t="s">
        <v>96</v>
      </c>
      <c r="C55" s="17" t="s">
        <v>12</v>
      </c>
      <c r="D55" s="17" t="s">
        <v>7</v>
      </c>
      <c r="E55" s="18">
        <f t="shared" si="0"/>
        <v>4</v>
      </c>
      <c r="H55">
        <v>1</v>
      </c>
    </row>
    <row r="56" spans="1:8" x14ac:dyDescent="0.3">
      <c r="A56" s="24" t="s">
        <v>31</v>
      </c>
      <c r="B56" s="14" t="s">
        <v>98</v>
      </c>
      <c r="C56" s="14" t="s">
        <v>10</v>
      </c>
      <c r="D56" s="14" t="s">
        <v>7</v>
      </c>
      <c r="E56" s="15">
        <f t="shared" si="0"/>
        <v>3</v>
      </c>
      <c r="H56">
        <v>1</v>
      </c>
    </row>
    <row r="57" spans="1:8" x14ac:dyDescent="0.3">
      <c r="A57" s="25"/>
      <c r="B57" s="12" t="s">
        <v>100</v>
      </c>
      <c r="C57" s="12" t="s">
        <v>15</v>
      </c>
      <c r="D57" s="12" t="s">
        <v>7</v>
      </c>
      <c r="E57" s="16">
        <f t="shared" si="0"/>
        <v>7</v>
      </c>
    </row>
    <row r="58" spans="1:8" x14ac:dyDescent="0.3">
      <c r="A58" s="25"/>
      <c r="B58" s="12" t="s">
        <v>101</v>
      </c>
      <c r="C58" s="12" t="s">
        <v>13</v>
      </c>
      <c r="D58" s="12" t="s">
        <v>8</v>
      </c>
      <c r="E58" s="16">
        <f t="shared" si="0"/>
        <v>4</v>
      </c>
    </row>
    <row r="59" spans="1:8" x14ac:dyDescent="0.3">
      <c r="A59" s="25"/>
      <c r="B59" s="12" t="s">
        <v>103</v>
      </c>
      <c r="C59" s="12" t="s">
        <v>12</v>
      </c>
      <c r="D59" s="12" t="s">
        <v>7</v>
      </c>
      <c r="E59" s="16">
        <f t="shared" si="0"/>
        <v>4</v>
      </c>
    </row>
    <row r="60" spans="1:8" ht="15" thickBot="1" x14ac:dyDescent="0.35">
      <c r="A60" s="26"/>
      <c r="B60" s="17" t="s">
        <v>105</v>
      </c>
      <c r="C60" s="17" t="s">
        <v>15</v>
      </c>
      <c r="D60" s="17" t="s">
        <v>7</v>
      </c>
      <c r="E60" s="18">
        <f t="shared" si="0"/>
        <v>7</v>
      </c>
    </row>
    <row r="61" spans="1:8" x14ac:dyDescent="0.3">
      <c r="A61" s="24" t="s">
        <v>32</v>
      </c>
      <c r="B61" s="14" t="s">
        <v>106</v>
      </c>
      <c r="C61" s="14" t="s">
        <v>15</v>
      </c>
      <c r="D61" s="14" t="s">
        <v>7</v>
      </c>
      <c r="E61" s="15">
        <f t="shared" si="0"/>
        <v>7</v>
      </c>
    </row>
    <row r="62" spans="1:8" x14ac:dyDescent="0.3">
      <c r="A62" s="25"/>
      <c r="B62" s="12" t="s">
        <v>107</v>
      </c>
      <c r="C62" s="12" t="s">
        <v>13</v>
      </c>
      <c r="D62" s="12" t="s">
        <v>7</v>
      </c>
      <c r="E62" s="16">
        <f t="shared" si="0"/>
        <v>3</v>
      </c>
    </row>
    <row r="63" spans="1:8" x14ac:dyDescent="0.3">
      <c r="A63" s="25"/>
      <c r="B63" s="12" t="s">
        <v>108</v>
      </c>
      <c r="C63" s="12" t="s">
        <v>12</v>
      </c>
      <c r="D63" s="12" t="s">
        <v>7</v>
      </c>
      <c r="E63" s="16">
        <f t="shared" si="0"/>
        <v>4</v>
      </c>
    </row>
    <row r="64" spans="1:8" x14ac:dyDescent="0.3">
      <c r="A64" s="25"/>
      <c r="B64" s="12" t="s">
        <v>110</v>
      </c>
      <c r="C64" s="12" t="s">
        <v>15</v>
      </c>
      <c r="D64" s="12" t="s">
        <v>7</v>
      </c>
      <c r="E64" s="16">
        <f t="shared" si="0"/>
        <v>7</v>
      </c>
    </row>
    <row r="65" spans="1:5" ht="15" thickBot="1" x14ac:dyDescent="0.35">
      <c r="A65" s="26"/>
      <c r="B65" s="17" t="s">
        <v>111</v>
      </c>
      <c r="C65" s="17" t="s">
        <v>17</v>
      </c>
      <c r="D65" s="17" t="s">
        <v>9</v>
      </c>
      <c r="E65" s="18">
        <f t="shared" si="0"/>
        <v>10</v>
      </c>
    </row>
    <row r="66" spans="1:5" x14ac:dyDescent="0.3">
      <c r="A66" s="24" t="s">
        <v>33</v>
      </c>
      <c r="B66" s="14" t="s">
        <v>113</v>
      </c>
      <c r="C66" s="14" t="s">
        <v>10</v>
      </c>
      <c r="D66" s="14" t="s">
        <v>7</v>
      </c>
      <c r="E66" s="15">
        <f t="shared" si="0"/>
        <v>3</v>
      </c>
    </row>
    <row r="67" spans="1:5" x14ac:dyDescent="0.3">
      <c r="A67" s="25"/>
      <c r="B67" s="12" t="s">
        <v>115</v>
      </c>
      <c r="C67" s="12" t="s">
        <v>15</v>
      </c>
      <c r="D67" s="12" t="s">
        <v>7</v>
      </c>
      <c r="E67" s="16">
        <f t="shared" si="0"/>
        <v>7</v>
      </c>
    </row>
    <row r="68" spans="1:5" x14ac:dyDescent="0.3">
      <c r="A68" s="25"/>
      <c r="B68" s="12" t="s">
        <v>116</v>
      </c>
      <c r="C68" s="12" t="s">
        <v>13</v>
      </c>
      <c r="D68" s="12" t="s">
        <v>7</v>
      </c>
      <c r="E68" s="16">
        <f t="shared" si="0"/>
        <v>3</v>
      </c>
    </row>
    <row r="69" spans="1:5" x14ac:dyDescent="0.3">
      <c r="A69" s="25"/>
      <c r="B69" s="12" t="s">
        <v>117</v>
      </c>
      <c r="C69" s="12" t="s">
        <v>15</v>
      </c>
      <c r="D69" s="12" t="s">
        <v>7</v>
      </c>
      <c r="E69" s="16">
        <f t="shared" si="0"/>
        <v>7</v>
      </c>
    </row>
    <row r="70" spans="1:5" ht="15" thickBot="1" x14ac:dyDescent="0.35">
      <c r="A70" s="26"/>
      <c r="B70" s="17" t="s">
        <v>118</v>
      </c>
      <c r="C70" s="17" t="s">
        <v>12</v>
      </c>
      <c r="D70" s="17" t="s">
        <v>7</v>
      </c>
      <c r="E70" s="18">
        <f t="shared" si="0"/>
        <v>4</v>
      </c>
    </row>
    <row r="71" spans="1:5" x14ac:dyDescent="0.3">
      <c r="A71" s="24" t="s">
        <v>34</v>
      </c>
      <c r="B71" s="14" t="s">
        <v>120</v>
      </c>
      <c r="C71" s="14" t="s">
        <v>13</v>
      </c>
      <c r="D71" s="14" t="s">
        <v>7</v>
      </c>
      <c r="E71" s="15">
        <f t="shared" si="0"/>
        <v>3</v>
      </c>
    </row>
    <row r="72" spans="1:5" x14ac:dyDescent="0.3">
      <c r="A72" s="25"/>
      <c r="B72" s="12" t="s">
        <v>121</v>
      </c>
      <c r="C72" s="12" t="s">
        <v>15</v>
      </c>
      <c r="D72" s="12" t="s">
        <v>7</v>
      </c>
      <c r="E72" s="16">
        <f t="shared" si="0"/>
        <v>7</v>
      </c>
    </row>
    <row r="73" spans="1:5" x14ac:dyDescent="0.3">
      <c r="A73" s="25"/>
      <c r="B73" s="12" t="s">
        <v>122</v>
      </c>
      <c r="C73" s="12" t="s">
        <v>12</v>
      </c>
      <c r="D73" s="12" t="s">
        <v>7</v>
      </c>
      <c r="E73" s="16">
        <f t="shared" si="0"/>
        <v>4</v>
      </c>
    </row>
    <row r="74" spans="1:5" ht="15" thickBot="1" x14ac:dyDescent="0.35">
      <c r="A74" s="26"/>
      <c r="B74" s="17" t="s">
        <v>124</v>
      </c>
      <c r="C74" s="17" t="s">
        <v>17</v>
      </c>
      <c r="D74" s="17" t="s">
        <v>9</v>
      </c>
      <c r="E74" s="18">
        <f t="shared" si="0"/>
        <v>10</v>
      </c>
    </row>
  </sheetData>
  <mergeCells count="14">
    <mergeCell ref="A3:A8"/>
    <mergeCell ref="A16:A21"/>
    <mergeCell ref="A22:A26"/>
    <mergeCell ref="A38:A41"/>
    <mergeCell ref="B1:E1"/>
    <mergeCell ref="A9:A11"/>
    <mergeCell ref="A27:A31"/>
    <mergeCell ref="A66:A70"/>
    <mergeCell ref="A71:A74"/>
    <mergeCell ref="A42:A47"/>
    <mergeCell ref="A48:A51"/>
    <mergeCell ref="A52:A55"/>
    <mergeCell ref="A56:A60"/>
    <mergeCell ref="A61:A6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Normal="100" workbookViewId="0">
      <selection sqref="A1:D1"/>
    </sheetView>
  </sheetViews>
  <sheetFormatPr baseColWidth="10" defaultColWidth="8.6640625" defaultRowHeight="14.4" x14ac:dyDescent="0.3"/>
  <cols>
    <col min="1" max="1" width="10" customWidth="1"/>
    <col min="2" max="3" width="12" customWidth="1"/>
    <col min="4" max="4" width="14" customWidth="1"/>
  </cols>
  <sheetData>
    <row r="1" spans="1:4" ht="17.399999999999999" x14ac:dyDescent="0.3">
      <c r="A1" s="28" t="s">
        <v>20</v>
      </c>
      <c r="B1" s="28"/>
      <c r="C1" s="28"/>
      <c r="D1" s="28"/>
    </row>
    <row r="3" spans="1:4" x14ac:dyDescent="0.3">
      <c r="A3" s="1" t="s">
        <v>2</v>
      </c>
      <c r="B3" s="1" t="s">
        <v>21</v>
      </c>
      <c r="C3" s="1" t="s">
        <v>4</v>
      </c>
      <c r="D3" s="1" t="s">
        <v>22</v>
      </c>
    </row>
    <row r="4" spans="1:4" x14ac:dyDescent="0.3">
      <c r="A4" s="8" t="s">
        <v>10</v>
      </c>
      <c r="B4" s="8">
        <f>COUNTIFS(DETALLE!$C$3:$C$56,A4,DETALLE!$H$3:$H$56,1)</f>
        <v>5</v>
      </c>
      <c r="C4" s="8">
        <f>SUMIFS(DETALLE!$E$3:$E$56,DETALLE!$C$3:$C$56,A4,DETALLE!$H$3:$H$56,1)</f>
        <v>16</v>
      </c>
      <c r="D4" s="9">
        <f>IFERROR(C4/$C$9,0)</f>
        <v>0.12903225806451613</v>
      </c>
    </row>
    <row r="5" spans="1:4" x14ac:dyDescent="0.3">
      <c r="A5" s="8" t="s">
        <v>12</v>
      </c>
      <c r="B5" s="8">
        <f>COUNTIFS(DETALLE!$C$3:$C$56,A5,DETALLE!$H$3:$H$56,1)</f>
        <v>5</v>
      </c>
      <c r="C5" s="8">
        <f>SUMIFS(DETALLE!$E$3:$E$56,DETALLE!$C$3:$C$56,A5,DETALLE!$H$3:$H$56,1)</f>
        <v>22</v>
      </c>
      <c r="D5" s="9">
        <f>IFERROR(C5/$C$9,0)</f>
        <v>0.17741935483870969</v>
      </c>
    </row>
    <row r="6" spans="1:4" x14ac:dyDescent="0.3">
      <c r="A6" s="8" t="s">
        <v>13</v>
      </c>
      <c r="B6" s="8">
        <f>COUNTIFS(DETALLE!$C$3:$C$56,A6,DETALLE!$H$3:$H$56,1)</f>
        <v>8</v>
      </c>
      <c r="C6" s="8">
        <f>SUMIFS(DETALLE!$E$3:$E$56,DETALLE!$C$3:$C$56,A6,DETALLE!$H$3:$H$56,1)</f>
        <v>27</v>
      </c>
      <c r="D6" s="9">
        <f>IFERROR(C6/$C$9,0)</f>
        <v>0.21774193548387097</v>
      </c>
    </row>
    <row r="7" spans="1:4" x14ac:dyDescent="0.3">
      <c r="A7" s="8" t="s">
        <v>15</v>
      </c>
      <c r="B7" s="8">
        <f>COUNTIFS(DETALLE!$C$3:$C$56,A7,DETALLE!$H$3:$H$56,1)</f>
        <v>8</v>
      </c>
      <c r="C7" s="8">
        <f>SUMIFS(DETALLE!$E$3:$E$56,DETALLE!$C$3:$C$56,A7,DETALLE!$H$3:$H$56,1)</f>
        <v>59</v>
      </c>
      <c r="D7" s="9">
        <f>IFERROR(C7/$C$9,0)</f>
        <v>0.47580645161290325</v>
      </c>
    </row>
    <row r="8" spans="1:4" x14ac:dyDescent="0.3">
      <c r="A8" s="8" t="s">
        <v>17</v>
      </c>
      <c r="B8" s="8">
        <f>COUNTIFS(DETALLE!$C$3:$C$56,A8,DETALLE!$H$3:$H$56,1)</f>
        <v>0</v>
      </c>
      <c r="C8" s="8">
        <f>SUMIFS(DETALLE!$E$3:$E$56,DETALLE!$C$3:$C$56,A8,DETALLE!$H$3:$H$56,1)</f>
        <v>0</v>
      </c>
      <c r="D8" s="9">
        <f>IFERROR(C8/$C$9,0)</f>
        <v>0</v>
      </c>
    </row>
    <row r="9" spans="1:4" x14ac:dyDescent="0.3">
      <c r="A9" s="10" t="s">
        <v>5</v>
      </c>
      <c r="B9" s="10">
        <f>SUM(B4:B8)</f>
        <v>26</v>
      </c>
      <c r="C9" s="10">
        <f>SUM(C4:C8)</f>
        <v>124</v>
      </c>
      <c r="D9" s="10" t="s">
        <v>23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BDAAE-7557-4B9B-B71F-B163190FDC7E}">
  <dimension ref="B3:F57"/>
  <sheetViews>
    <sheetView topLeftCell="A46" workbookViewId="0">
      <selection activeCell="F4" sqref="F4:F57"/>
    </sheetView>
  </sheetViews>
  <sheetFormatPr baseColWidth="10" defaultRowHeight="14.4" x14ac:dyDescent="0.3"/>
  <cols>
    <col min="2" max="2" width="21.77734375" customWidth="1"/>
    <col min="3" max="3" width="30.109375" customWidth="1"/>
    <col min="4" max="4" width="18.77734375" customWidth="1"/>
    <col min="5" max="6" width="25" customWidth="1"/>
  </cols>
  <sheetData>
    <row r="3" spans="2:6" ht="28.8" x14ac:dyDescent="0.3">
      <c r="B3" s="11" t="s">
        <v>35</v>
      </c>
      <c r="C3" s="11" t="s">
        <v>36</v>
      </c>
      <c r="D3" s="11" t="s">
        <v>2</v>
      </c>
      <c r="E3" s="11" t="s">
        <v>37</v>
      </c>
      <c r="F3" s="11" t="s">
        <v>38</v>
      </c>
    </row>
    <row r="4" spans="2:6" x14ac:dyDescent="0.3">
      <c r="B4" s="12" t="s">
        <v>24</v>
      </c>
      <c r="C4" s="12" t="s">
        <v>39</v>
      </c>
      <c r="D4" s="12" t="s">
        <v>10</v>
      </c>
      <c r="E4" s="12" t="s">
        <v>40</v>
      </c>
      <c r="F4" s="12" t="s">
        <v>7</v>
      </c>
    </row>
    <row r="5" spans="2:6" ht="28.8" x14ac:dyDescent="0.3">
      <c r="B5" s="12"/>
      <c r="C5" s="12" t="s">
        <v>41</v>
      </c>
      <c r="D5" s="12" t="s">
        <v>13</v>
      </c>
      <c r="E5" s="12" t="s">
        <v>42</v>
      </c>
      <c r="F5" s="12" t="s">
        <v>8</v>
      </c>
    </row>
    <row r="6" spans="2:6" x14ac:dyDescent="0.3">
      <c r="B6" s="12"/>
      <c r="C6" s="12" t="s">
        <v>43</v>
      </c>
      <c r="D6" s="12" t="s">
        <v>15</v>
      </c>
      <c r="E6" s="12" t="s">
        <v>44</v>
      </c>
      <c r="F6" s="12" t="s">
        <v>7</v>
      </c>
    </row>
    <row r="7" spans="2:6" x14ac:dyDescent="0.3">
      <c r="B7" s="12"/>
      <c r="C7" s="12" t="s">
        <v>45</v>
      </c>
      <c r="D7" s="12" t="s">
        <v>15</v>
      </c>
      <c r="E7" s="12" t="s">
        <v>46</v>
      </c>
      <c r="F7" s="12" t="s">
        <v>7</v>
      </c>
    </row>
    <row r="8" spans="2:6" x14ac:dyDescent="0.3">
      <c r="B8" s="12"/>
      <c r="C8" s="12" t="s">
        <v>47</v>
      </c>
      <c r="D8" s="12" t="s">
        <v>15</v>
      </c>
      <c r="E8" s="12" t="s">
        <v>48</v>
      </c>
      <c r="F8" s="12" t="s">
        <v>7</v>
      </c>
    </row>
    <row r="9" spans="2:6" x14ac:dyDescent="0.3">
      <c r="B9" s="12"/>
      <c r="C9" s="12" t="s">
        <v>49</v>
      </c>
      <c r="D9" s="12" t="s">
        <v>12</v>
      </c>
      <c r="E9" s="12" t="s">
        <v>50</v>
      </c>
      <c r="F9" s="12" t="s">
        <v>7</v>
      </c>
    </row>
    <row r="10" spans="2:6" ht="28.8" x14ac:dyDescent="0.3">
      <c r="B10" s="12" t="s">
        <v>25</v>
      </c>
      <c r="C10" s="12" t="s">
        <v>39</v>
      </c>
      <c r="D10" s="12" t="s">
        <v>10</v>
      </c>
      <c r="E10" s="12" t="s">
        <v>51</v>
      </c>
      <c r="F10" s="12" t="s">
        <v>7</v>
      </c>
    </row>
    <row r="11" spans="2:6" x14ac:dyDescent="0.3">
      <c r="B11" s="12"/>
      <c r="C11" s="12" t="s">
        <v>52</v>
      </c>
      <c r="D11" s="12" t="s">
        <v>13</v>
      </c>
      <c r="E11" s="12" t="s">
        <v>53</v>
      </c>
      <c r="F11" s="12" t="s">
        <v>8</v>
      </c>
    </row>
    <row r="12" spans="2:6" x14ac:dyDescent="0.3">
      <c r="B12" s="12"/>
      <c r="C12" s="12" t="s">
        <v>54</v>
      </c>
      <c r="D12" s="12" t="s">
        <v>15</v>
      </c>
      <c r="E12" s="12" t="s">
        <v>55</v>
      </c>
      <c r="F12" s="12" t="s">
        <v>7</v>
      </c>
    </row>
    <row r="13" spans="2:6" x14ac:dyDescent="0.3">
      <c r="B13" s="12"/>
      <c r="C13" s="12" t="s">
        <v>56</v>
      </c>
      <c r="D13" s="12" t="s">
        <v>15</v>
      </c>
      <c r="E13" s="12" t="s">
        <v>57</v>
      </c>
      <c r="F13" s="12" t="s">
        <v>7</v>
      </c>
    </row>
    <row r="14" spans="2:6" x14ac:dyDescent="0.3">
      <c r="B14" s="12"/>
      <c r="C14" s="12" t="s">
        <v>58</v>
      </c>
      <c r="D14" s="12" t="s">
        <v>15</v>
      </c>
      <c r="E14" s="12" t="s">
        <v>48</v>
      </c>
      <c r="F14" s="12" t="s">
        <v>7</v>
      </c>
    </row>
    <row r="15" spans="2:6" x14ac:dyDescent="0.3">
      <c r="B15" s="12"/>
      <c r="C15" s="12" t="s">
        <v>49</v>
      </c>
      <c r="D15" s="12" t="s">
        <v>12</v>
      </c>
      <c r="E15" s="12" t="s">
        <v>59</v>
      </c>
      <c r="F15" s="12" t="s">
        <v>7</v>
      </c>
    </row>
    <row r="16" spans="2:6" x14ac:dyDescent="0.3">
      <c r="B16" s="12" t="s">
        <v>26</v>
      </c>
      <c r="C16" s="12" t="s">
        <v>60</v>
      </c>
      <c r="D16" s="12" t="s">
        <v>13</v>
      </c>
      <c r="E16" s="12" t="s">
        <v>61</v>
      </c>
      <c r="F16" s="12" t="s">
        <v>7</v>
      </c>
    </row>
    <row r="17" spans="2:6" x14ac:dyDescent="0.3">
      <c r="B17" s="12"/>
      <c r="C17" s="12" t="s">
        <v>62</v>
      </c>
      <c r="D17" s="12" t="s">
        <v>10</v>
      </c>
      <c r="E17" s="12" t="s">
        <v>63</v>
      </c>
      <c r="F17" s="12" t="s">
        <v>7</v>
      </c>
    </row>
    <row r="18" spans="2:6" x14ac:dyDescent="0.3">
      <c r="B18" s="12"/>
      <c r="C18" s="12" t="s">
        <v>64</v>
      </c>
      <c r="D18" s="12" t="s">
        <v>15</v>
      </c>
      <c r="E18" s="12" t="s">
        <v>57</v>
      </c>
      <c r="F18" s="12" t="s">
        <v>7</v>
      </c>
    </row>
    <row r="19" spans="2:6" x14ac:dyDescent="0.3">
      <c r="B19" s="12"/>
      <c r="C19" s="12" t="s">
        <v>65</v>
      </c>
      <c r="D19" s="12" t="s">
        <v>10</v>
      </c>
      <c r="E19" s="12" t="s">
        <v>66</v>
      </c>
      <c r="F19" s="12" t="s">
        <v>8</v>
      </c>
    </row>
    <row r="20" spans="2:6" x14ac:dyDescent="0.3">
      <c r="B20" s="12"/>
      <c r="C20" s="12" t="s">
        <v>67</v>
      </c>
      <c r="D20" s="12" t="s">
        <v>15</v>
      </c>
      <c r="E20" s="12" t="s">
        <v>57</v>
      </c>
      <c r="F20" s="12" t="s">
        <v>8</v>
      </c>
    </row>
    <row r="21" spans="2:6" x14ac:dyDescent="0.3">
      <c r="B21" s="12" t="s">
        <v>27</v>
      </c>
      <c r="C21" s="12" t="s">
        <v>68</v>
      </c>
      <c r="D21" s="12" t="s">
        <v>10</v>
      </c>
      <c r="E21" s="12" t="s">
        <v>69</v>
      </c>
      <c r="F21" s="12" t="s">
        <v>7</v>
      </c>
    </row>
    <row r="22" spans="2:6" x14ac:dyDescent="0.3">
      <c r="B22" s="12"/>
      <c r="C22" s="12" t="s">
        <v>70</v>
      </c>
      <c r="D22" s="12" t="s">
        <v>13</v>
      </c>
      <c r="E22" s="12" t="s">
        <v>71</v>
      </c>
      <c r="F22" s="12" t="s">
        <v>8</v>
      </c>
    </row>
    <row r="23" spans="2:6" x14ac:dyDescent="0.3">
      <c r="B23" s="12"/>
      <c r="C23" s="12" t="s">
        <v>72</v>
      </c>
      <c r="D23" s="12" t="s">
        <v>12</v>
      </c>
      <c r="E23" s="12" t="s">
        <v>73</v>
      </c>
      <c r="F23" s="12" t="s">
        <v>8</v>
      </c>
    </row>
    <row r="24" spans="2:6" x14ac:dyDescent="0.3">
      <c r="B24" s="12"/>
      <c r="C24" s="12" t="s">
        <v>74</v>
      </c>
      <c r="D24" s="12" t="s">
        <v>13</v>
      </c>
      <c r="E24" s="12" t="s">
        <v>75</v>
      </c>
      <c r="F24" s="12" t="s">
        <v>7</v>
      </c>
    </row>
    <row r="25" spans="2:6" x14ac:dyDescent="0.3">
      <c r="B25" s="12" t="s">
        <v>28</v>
      </c>
      <c r="C25" s="12" t="s">
        <v>76</v>
      </c>
      <c r="D25" s="12" t="s">
        <v>10</v>
      </c>
      <c r="E25" s="12" t="s">
        <v>77</v>
      </c>
      <c r="F25" s="12" t="s">
        <v>7</v>
      </c>
    </row>
    <row r="26" spans="2:6" x14ac:dyDescent="0.3">
      <c r="B26" s="12"/>
      <c r="C26" s="12" t="s">
        <v>78</v>
      </c>
      <c r="D26" s="12" t="s">
        <v>15</v>
      </c>
      <c r="E26" s="12" t="s">
        <v>55</v>
      </c>
      <c r="F26" s="12" t="s">
        <v>7</v>
      </c>
    </row>
    <row r="27" spans="2:6" x14ac:dyDescent="0.3">
      <c r="B27" s="12"/>
      <c r="C27" s="12" t="s">
        <v>79</v>
      </c>
      <c r="D27" s="12" t="s">
        <v>15</v>
      </c>
      <c r="E27" s="12" t="s">
        <v>57</v>
      </c>
      <c r="F27" s="12" t="s">
        <v>7</v>
      </c>
    </row>
    <row r="28" spans="2:6" x14ac:dyDescent="0.3">
      <c r="B28" s="12"/>
      <c r="C28" s="12" t="s">
        <v>80</v>
      </c>
      <c r="D28" s="12" t="s">
        <v>15</v>
      </c>
      <c r="E28" s="12" t="s">
        <v>48</v>
      </c>
      <c r="F28" s="12" t="s">
        <v>7</v>
      </c>
    </row>
    <row r="29" spans="2:6" x14ac:dyDescent="0.3">
      <c r="B29" s="12"/>
      <c r="C29" s="12" t="s">
        <v>81</v>
      </c>
      <c r="D29" s="12" t="s">
        <v>10</v>
      </c>
      <c r="E29" s="12" t="s">
        <v>82</v>
      </c>
      <c r="F29" s="12" t="s">
        <v>8</v>
      </c>
    </row>
    <row r="30" spans="2:6" x14ac:dyDescent="0.3">
      <c r="B30" s="12"/>
      <c r="C30" s="12" t="s">
        <v>83</v>
      </c>
      <c r="D30" s="12" t="s">
        <v>12</v>
      </c>
      <c r="E30" s="12" t="s">
        <v>84</v>
      </c>
      <c r="F30" s="12" t="s">
        <v>7</v>
      </c>
    </row>
    <row r="31" spans="2:6" x14ac:dyDescent="0.3">
      <c r="B31" s="12" t="s">
        <v>29</v>
      </c>
      <c r="C31" s="12" t="s">
        <v>85</v>
      </c>
      <c r="D31" s="12" t="s">
        <v>13</v>
      </c>
      <c r="E31" s="12" t="s">
        <v>86</v>
      </c>
      <c r="F31" s="12" t="s">
        <v>7</v>
      </c>
    </row>
    <row r="32" spans="2:6" x14ac:dyDescent="0.3">
      <c r="B32" s="12"/>
      <c r="C32" s="12" t="s">
        <v>87</v>
      </c>
      <c r="D32" s="12" t="s">
        <v>13</v>
      </c>
      <c r="E32" s="12" t="s">
        <v>88</v>
      </c>
      <c r="F32" s="12" t="s">
        <v>7</v>
      </c>
    </row>
    <row r="33" spans="2:6" x14ac:dyDescent="0.3">
      <c r="B33" s="12"/>
      <c r="C33" s="12" t="s">
        <v>89</v>
      </c>
      <c r="D33" s="12" t="s">
        <v>13</v>
      </c>
      <c r="E33" s="12" t="s">
        <v>88</v>
      </c>
      <c r="F33" s="12" t="s">
        <v>8</v>
      </c>
    </row>
    <row r="34" spans="2:6" x14ac:dyDescent="0.3">
      <c r="B34" s="12"/>
      <c r="C34" s="12" t="s">
        <v>90</v>
      </c>
      <c r="D34" s="12" t="s">
        <v>12</v>
      </c>
      <c r="E34" s="12" t="s">
        <v>91</v>
      </c>
      <c r="F34" s="12" t="s">
        <v>8</v>
      </c>
    </row>
    <row r="35" spans="2:6" x14ac:dyDescent="0.3">
      <c r="B35" s="12" t="s">
        <v>30</v>
      </c>
      <c r="C35" s="12" t="s">
        <v>92</v>
      </c>
      <c r="D35" s="12" t="s">
        <v>13</v>
      </c>
      <c r="E35" s="12" t="s">
        <v>88</v>
      </c>
      <c r="F35" s="12" t="s">
        <v>7</v>
      </c>
    </row>
    <row r="36" spans="2:6" x14ac:dyDescent="0.3">
      <c r="B36" s="12"/>
      <c r="C36" s="12" t="s">
        <v>93</v>
      </c>
      <c r="D36" s="12" t="s">
        <v>13</v>
      </c>
      <c r="E36" s="12" t="s">
        <v>88</v>
      </c>
      <c r="F36" s="12" t="s">
        <v>7</v>
      </c>
    </row>
    <row r="37" spans="2:6" x14ac:dyDescent="0.3">
      <c r="B37" s="12"/>
      <c r="C37" s="12" t="s">
        <v>94</v>
      </c>
      <c r="D37" s="12" t="s">
        <v>13</v>
      </c>
      <c r="E37" s="12" t="s">
        <v>95</v>
      </c>
      <c r="F37" s="12" t="s">
        <v>7</v>
      </c>
    </row>
    <row r="38" spans="2:6" x14ac:dyDescent="0.3">
      <c r="B38" s="12"/>
      <c r="C38" s="12" t="s">
        <v>96</v>
      </c>
      <c r="D38" s="12" t="s">
        <v>12</v>
      </c>
      <c r="E38" s="12" t="s">
        <v>97</v>
      </c>
      <c r="F38" s="12" t="s">
        <v>7</v>
      </c>
    </row>
    <row r="39" spans="2:6" x14ac:dyDescent="0.3">
      <c r="B39" s="12" t="s">
        <v>31</v>
      </c>
      <c r="C39" s="12" t="s">
        <v>98</v>
      </c>
      <c r="D39" s="12" t="s">
        <v>10</v>
      </c>
      <c r="E39" s="12" t="s">
        <v>99</v>
      </c>
      <c r="F39" s="12" t="s">
        <v>7</v>
      </c>
    </row>
    <row r="40" spans="2:6" x14ac:dyDescent="0.3">
      <c r="B40" s="12"/>
      <c r="C40" s="12" t="s">
        <v>100</v>
      </c>
      <c r="D40" s="12" t="s">
        <v>15</v>
      </c>
      <c r="E40" s="12" t="s">
        <v>55</v>
      </c>
      <c r="F40" s="12" t="s">
        <v>7</v>
      </c>
    </row>
    <row r="41" spans="2:6" x14ac:dyDescent="0.3">
      <c r="B41" s="12"/>
      <c r="C41" s="12" t="s">
        <v>101</v>
      </c>
      <c r="D41" s="12" t="s">
        <v>13</v>
      </c>
      <c r="E41" s="12" t="s">
        <v>102</v>
      </c>
      <c r="F41" s="12" t="s">
        <v>8</v>
      </c>
    </row>
    <row r="42" spans="2:6" x14ac:dyDescent="0.3">
      <c r="B42" s="12"/>
      <c r="C42" s="12" t="s">
        <v>103</v>
      </c>
      <c r="D42" s="12" t="s">
        <v>12</v>
      </c>
      <c r="E42" s="12" t="s">
        <v>104</v>
      </c>
      <c r="F42" s="12" t="s">
        <v>7</v>
      </c>
    </row>
    <row r="43" spans="2:6" x14ac:dyDescent="0.3">
      <c r="B43" s="12"/>
      <c r="C43" s="12" t="s">
        <v>105</v>
      </c>
      <c r="D43" s="12" t="s">
        <v>15</v>
      </c>
      <c r="E43" s="12" t="s">
        <v>48</v>
      </c>
      <c r="F43" s="12" t="s">
        <v>7</v>
      </c>
    </row>
    <row r="44" spans="2:6" x14ac:dyDescent="0.3">
      <c r="B44" s="12" t="s">
        <v>32</v>
      </c>
      <c r="C44" s="12" t="s">
        <v>106</v>
      </c>
      <c r="D44" s="12" t="s">
        <v>15</v>
      </c>
      <c r="E44" s="12" t="s">
        <v>55</v>
      </c>
      <c r="F44" s="12" t="s">
        <v>7</v>
      </c>
    </row>
    <row r="45" spans="2:6" x14ac:dyDescent="0.3">
      <c r="B45" s="12"/>
      <c r="C45" s="12" t="s">
        <v>107</v>
      </c>
      <c r="D45" s="12" t="s">
        <v>13</v>
      </c>
      <c r="E45" s="12" t="s">
        <v>88</v>
      </c>
      <c r="F45" s="12" t="s">
        <v>7</v>
      </c>
    </row>
    <row r="46" spans="2:6" x14ac:dyDescent="0.3">
      <c r="B46" s="12"/>
      <c r="C46" s="12" t="s">
        <v>108</v>
      </c>
      <c r="D46" s="12" t="s">
        <v>12</v>
      </c>
      <c r="E46" s="12" t="s">
        <v>109</v>
      </c>
      <c r="F46" s="12" t="s">
        <v>7</v>
      </c>
    </row>
    <row r="47" spans="2:6" x14ac:dyDescent="0.3">
      <c r="B47" s="12"/>
      <c r="C47" s="12" t="s">
        <v>110</v>
      </c>
      <c r="D47" s="12" t="s">
        <v>15</v>
      </c>
      <c r="E47" s="12" t="s">
        <v>57</v>
      </c>
      <c r="F47" s="12" t="s">
        <v>7</v>
      </c>
    </row>
    <row r="48" spans="2:6" x14ac:dyDescent="0.3">
      <c r="B48" s="12"/>
      <c r="C48" s="12" t="s">
        <v>111</v>
      </c>
      <c r="D48" s="12" t="s">
        <v>17</v>
      </c>
      <c r="E48" s="12" t="s">
        <v>112</v>
      </c>
      <c r="F48" s="12" t="s">
        <v>9</v>
      </c>
    </row>
    <row r="49" spans="2:6" x14ac:dyDescent="0.3">
      <c r="B49" s="12" t="s">
        <v>33</v>
      </c>
      <c r="C49" s="12" t="s">
        <v>113</v>
      </c>
      <c r="D49" s="12" t="s">
        <v>10</v>
      </c>
      <c r="E49" s="12" t="s">
        <v>114</v>
      </c>
      <c r="F49" s="12" t="s">
        <v>7</v>
      </c>
    </row>
    <row r="50" spans="2:6" x14ac:dyDescent="0.3">
      <c r="B50" s="12"/>
      <c r="C50" s="12" t="s">
        <v>115</v>
      </c>
      <c r="D50" s="12" t="s">
        <v>15</v>
      </c>
      <c r="E50" s="12" t="s">
        <v>55</v>
      </c>
      <c r="F50" s="12" t="s">
        <v>7</v>
      </c>
    </row>
    <row r="51" spans="2:6" x14ac:dyDescent="0.3">
      <c r="B51" s="12"/>
      <c r="C51" s="12" t="s">
        <v>116</v>
      </c>
      <c r="D51" s="12" t="s">
        <v>13</v>
      </c>
      <c r="E51" s="12" t="s">
        <v>88</v>
      </c>
      <c r="F51" s="12" t="s">
        <v>7</v>
      </c>
    </row>
    <row r="52" spans="2:6" x14ac:dyDescent="0.3">
      <c r="B52" s="12"/>
      <c r="C52" s="12" t="s">
        <v>117</v>
      </c>
      <c r="D52" s="12" t="s">
        <v>15</v>
      </c>
      <c r="E52" s="12" t="s">
        <v>57</v>
      </c>
      <c r="F52" s="12" t="s">
        <v>7</v>
      </c>
    </row>
    <row r="53" spans="2:6" x14ac:dyDescent="0.3">
      <c r="B53" s="12"/>
      <c r="C53" s="12" t="s">
        <v>118</v>
      </c>
      <c r="D53" s="12" t="s">
        <v>12</v>
      </c>
      <c r="E53" s="12" t="s">
        <v>119</v>
      </c>
      <c r="F53" s="12" t="s">
        <v>7</v>
      </c>
    </row>
    <row r="54" spans="2:6" x14ac:dyDescent="0.3">
      <c r="B54" s="12" t="s">
        <v>34</v>
      </c>
      <c r="C54" s="12" t="s">
        <v>120</v>
      </c>
      <c r="D54" s="12" t="s">
        <v>13</v>
      </c>
      <c r="E54" s="12" t="s">
        <v>88</v>
      </c>
      <c r="F54" s="12" t="s">
        <v>7</v>
      </c>
    </row>
    <row r="55" spans="2:6" x14ac:dyDescent="0.3">
      <c r="B55" s="12"/>
      <c r="C55" s="12" t="s">
        <v>121</v>
      </c>
      <c r="D55" s="12" t="s">
        <v>15</v>
      </c>
      <c r="E55" s="12" t="s">
        <v>57</v>
      </c>
      <c r="F55" s="12" t="s">
        <v>7</v>
      </c>
    </row>
    <row r="56" spans="2:6" x14ac:dyDescent="0.3">
      <c r="B56" s="12"/>
      <c r="C56" s="12" t="s">
        <v>122</v>
      </c>
      <c r="D56" s="12" t="s">
        <v>12</v>
      </c>
      <c r="E56" s="12" t="s">
        <v>123</v>
      </c>
      <c r="F56" s="12" t="s">
        <v>7</v>
      </c>
    </row>
    <row r="57" spans="2:6" x14ac:dyDescent="0.3">
      <c r="B57" s="12"/>
      <c r="C57" s="12" t="s">
        <v>124</v>
      </c>
      <c r="D57" s="12" t="s">
        <v>17</v>
      </c>
      <c r="E57" s="12" t="s">
        <v>112</v>
      </c>
      <c r="F57" s="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</vt:lpstr>
      <vt:lpstr>RESUMEN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cruzr</cp:lastModifiedBy>
  <cp:revision>0</cp:revision>
  <dcterms:created xsi:type="dcterms:W3CDTF">2026-05-26T02:09:26Z</dcterms:created>
  <dcterms:modified xsi:type="dcterms:W3CDTF">2026-07-16T02:43:57Z</dcterms:modified>
  <dc:language>en-US</dc:language>
</cp:coreProperties>
</file>