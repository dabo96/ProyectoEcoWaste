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TALLE" sheetId="1" state="visible" r:id="rId3"/>
    <sheet name="RESUME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<sst xmlns="http://schemas.openxmlformats.org/spreadsheetml/2006/main" count="141" uniqueCount="63">
  <si>
    <t xml:space="preserve">ANÁLISIS DE PUNTOS DE FUNCIÓN — EcoWaste</t>
  </si>
  <si>
    <t xml:space="preserve">REQ</t>
  </si>
  <si>
    <t xml:space="preserve">Tipo</t>
  </si>
  <si>
    <t xml:space="preserve">Dificultad</t>
  </si>
  <si>
    <t xml:space="preserve">Puntos</t>
  </si>
  <si>
    <t xml:space="preserve">TOTAL</t>
  </si>
  <si>
    <t xml:space="preserve">Es_sub</t>
  </si>
  <si>
    <t xml:space="preserve">Baja</t>
  </si>
  <si>
    <t xml:space="preserve">Media</t>
  </si>
  <si>
    <t xml:space="preserve">Alta</t>
  </si>
  <si>
    <t xml:space="preserve">RF01/RF02 — Registro de usuario</t>
  </si>
  <si>
    <t xml:space="preserve">EI</t>
  </si>
  <si>
    <t xml:space="preserve">MEDIA</t>
  </si>
  <si>
    <t xml:space="preserve">Ingresar datos del formulario de registro</t>
  </si>
  <si>
    <t xml:space="preserve">puntos</t>
  </si>
  <si>
    <t xml:space="preserve">EO</t>
  </si>
  <si>
    <t xml:space="preserve">Validar RUC/DNI únicos en el sistema</t>
  </si>
  <si>
    <t xml:space="preserve">EQ</t>
  </si>
  <si>
    <t xml:space="preserve">BAJA</t>
  </si>
  <si>
    <t xml:space="preserve">Confirmar y almacenar registro</t>
  </si>
  <si>
    <t xml:space="preserve">Resumen</t>
  </si>
  <si>
    <t xml:space="preserve">ILF</t>
  </si>
  <si>
    <t xml:space="preserve">RF04 — Iniciar sesión</t>
  </si>
  <si>
    <t xml:space="preserve">Filas RF (azul): 10</t>
  </si>
  <si>
    <t xml:space="preserve">EIF</t>
  </si>
  <si>
    <t xml:space="preserve">Ingresar credenciales (correo y contraseña)</t>
  </si>
  <si>
    <t xml:space="preserve">Sub-tareas: 26</t>
  </si>
  <si>
    <t xml:space="preserve">Validar credenciales contra base de datos</t>
  </si>
  <si>
    <t xml:space="preserve">El total suma solo sub-tareas</t>
  </si>
  <si>
    <t xml:space="preserve">Bloquear cuenta tras intentos fallidos</t>
  </si>
  <si>
    <t xml:space="preserve">RF06 — Editar perfil de usuario</t>
  </si>
  <si>
    <t xml:space="preserve">Mostrar datos actuales del perfil</t>
  </si>
  <si>
    <t xml:space="preserve">Modificar datos del usuario</t>
  </si>
  <si>
    <t xml:space="preserve">RF07 — Hacer publicación</t>
  </si>
  <si>
    <t xml:space="preserve">Ingresar datos del material (nombre, categoría, cantidad)</t>
  </si>
  <si>
    <t xml:space="preserve">Subir fotografías del material (máx. 5)</t>
  </si>
  <si>
    <t xml:space="preserve">ALTA</t>
  </si>
  <si>
    <t xml:space="preserve">Indicar ubicación del material</t>
  </si>
  <si>
    <t xml:space="preserve">RF09 — Búsqueda de materiales</t>
  </si>
  <si>
    <t xml:space="preserve">Ingresar criterios de búsqueda</t>
  </si>
  <si>
    <t xml:space="preserve">Mostrar lista de materiales encontrados</t>
  </si>
  <si>
    <t xml:space="preserve">RF10 — Filtrar y ordenar resultados</t>
  </si>
  <si>
    <t xml:space="preserve">Aplicar filtros combinados</t>
  </si>
  <si>
    <t xml:space="preserve">Ordenar resultados por criterio</t>
  </si>
  <si>
    <t xml:space="preserve">RF11 — Envío de mensajes</t>
  </si>
  <si>
    <t xml:space="preserve">Escribir y enviar mensaje</t>
  </si>
  <si>
    <t xml:space="preserve">Visualizar conversación entre comprador y vendedor</t>
  </si>
  <si>
    <t xml:space="preserve">RF12 — Envío de notificaciones</t>
  </si>
  <si>
    <t xml:space="preserve">Generar notificación interna en la plataforma</t>
  </si>
  <si>
    <t xml:space="preserve">Enviar notificación externa por correo</t>
  </si>
  <si>
    <t xml:space="preserve">Mostrar lista de notificaciones recibidas</t>
  </si>
  <si>
    <t xml:space="preserve">RF13 — Solicitud de compra</t>
  </si>
  <si>
    <t xml:space="preserve">Iniciar solicitud de compra sobre material</t>
  </si>
  <si>
    <t xml:space="preserve">Validar disponibilidad del material</t>
  </si>
  <si>
    <t xml:space="preserve">Confirmar solicitud de compra</t>
  </si>
  <si>
    <t xml:space="preserve">RF15 — Estado de transacción</t>
  </si>
  <si>
    <t xml:space="preserve">Registrar cambio de estado de transacción</t>
  </si>
  <si>
    <t xml:space="preserve">Consultar historial de cambios</t>
  </si>
  <si>
    <t xml:space="preserve">Almacenar historial de transacciones</t>
  </si>
  <si>
    <t xml:space="preserve">Resumen por tipo de función</t>
  </si>
  <si>
    <t xml:space="preserve">Cantidad</t>
  </si>
  <si>
    <t xml:space="preserve">% del total</t>
  </si>
  <si>
    <t xml:space="preserve">100%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</si>
</sst>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FCE4D6"/>
      </patternFill>
    </fill>
    <fill>
      <patternFill patternType="solid">
        <fgColor rgb="FFFFD966"/>
        <bgColor rgb="FFFFFF99"/>
      </patternFill>
    </fill>
    <fill>
      <patternFill patternType="solid">
        <fgColor rgb="FFFCE4D6"/>
        <bgColor rgb="FFD9E1F2"/>
      </patternFill>
    </fill>
    <fill>
      <patternFill patternType="solid">
        <fgColor rgb="FFFFFFFF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3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3"/>
    <col collapsed="false" customWidth="true" hidden="false" outlineLevel="0" max="6" min="6" style="0" width="14"/>
    <col collapsed="false" customWidth="true" hidden="true" outlineLevel="0" max="7" min="7" style="0" width="3"/>
    <col collapsed="false" customWidth="true" hidden="false" outlineLevel="0" max="8" min="8" style="0" width="3"/>
    <col collapsed="false" customWidth="true" hidden="false" outlineLevel="0" max="12" min="9" style="0" width="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52.2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F2" s="2" t="s">
        <v>5</v>
      </c>
      <c r="G2" s="2" t="s">
        <v>6</v>
      </c>
      <c r="I2" s="2" t="s">
        <v>2</v>
      </c>
      <c r="J2" s="2" t="s">
        <v>7</v>
      </c>
      <c r="K2" s="2" t="s">
        <v>8</v>
      </c>
      <c r="L2" s="2" t="s">
        <v>9</v>
      </c>
    </row>
    <row r="3" customFormat="false" ht="17.35" hidden="false" customHeight="false" outlineLevel="0" collapsed="false">
      <c r="A3" s="3" t="s">
        <v>10</v>
      </c>
      <c r="B3" s="4" t="s">
        <v>11</v>
      </c>
      <c r="C3" s="4" t="s">
        <v>12</v>
      </c>
      <c r="D3" s="4" t="n">
        <f aca="false">INDEX($J$3:$L$7,MATCH(B3,$I$3:$I$7,0),IF(UPPER(C3)="BAJA",1,IF(UPPER(C3)="MEDIA",2,3)))</f>
        <v>4</v>
      </c>
      <c r="F3" s="5" t="n">
        <f aca="false">SUM(D4,D5,D6,D8,D9,D10,D12,D13,D15,D16,D17,D19,D20,D22,D23,D25,D26,D28,D29,D30,D32,D33,D34,D36,D37,D38)</f>
        <v>110</v>
      </c>
      <c r="G3" s="0" t="n">
        <v>0</v>
      </c>
      <c r="I3" s="6" t="s">
        <v>11</v>
      </c>
      <c r="J3" s="6" t="n">
        <v>3</v>
      </c>
      <c r="K3" s="6" t="n">
        <v>4</v>
      </c>
      <c r="L3" s="6" t="n">
        <v>6</v>
      </c>
    </row>
    <row r="4" customFormat="false" ht="15" hidden="false" customHeight="false" outlineLevel="0" collapsed="false">
      <c r="A4" s="7" t="s">
        <v>13</v>
      </c>
      <c r="B4" s="8" t="s">
        <v>11</v>
      </c>
      <c r="C4" s="8" t="s">
        <v>12</v>
      </c>
      <c r="D4" s="8" t="n">
        <f aca="false">INDEX($J$3:$L$7,MATCH(B4,$I$3:$I$7,0),IF(UPPER(C4)="BAJA",1,IF(UPPER(C4)="MEDIA",2,3)))</f>
        <v>4</v>
      </c>
      <c r="F4" s="9" t="s">
        <v>14</v>
      </c>
      <c r="G4" s="0" t="n">
        <v>1</v>
      </c>
      <c r="I4" s="6" t="s">
        <v>15</v>
      </c>
      <c r="J4" s="6" t="n">
        <v>4</v>
      </c>
      <c r="K4" s="6" t="n">
        <v>5</v>
      </c>
      <c r="L4" s="6" t="n">
        <v>7</v>
      </c>
    </row>
    <row r="5" customFormat="false" ht="15" hidden="false" customHeight="false" outlineLevel="0" collapsed="false">
      <c r="A5" s="7" t="s">
        <v>16</v>
      </c>
      <c r="B5" s="8" t="s">
        <v>17</v>
      </c>
      <c r="C5" s="8" t="s">
        <v>18</v>
      </c>
      <c r="D5" s="8" t="n">
        <f aca="false">INDEX($J$3:$L$7,MATCH(B5,$I$3:$I$7,0),IF(UPPER(C5)="BAJA",1,IF(UPPER(C5)="MEDIA",2,3)))</f>
        <v>3</v>
      </c>
      <c r="G5" s="0" t="n">
        <v>1</v>
      </c>
      <c r="I5" s="6" t="s">
        <v>17</v>
      </c>
      <c r="J5" s="6" t="n">
        <v>3</v>
      </c>
      <c r="K5" s="6" t="n">
        <v>4</v>
      </c>
      <c r="L5" s="6" t="n">
        <v>6</v>
      </c>
    </row>
    <row r="6" customFormat="false" ht="15" hidden="false" customHeight="false" outlineLevel="0" collapsed="false">
      <c r="A6" s="7" t="s">
        <v>19</v>
      </c>
      <c r="B6" s="8" t="s">
        <v>11</v>
      </c>
      <c r="C6" s="8" t="s">
        <v>18</v>
      </c>
      <c r="D6" s="8" t="n">
        <f aca="false">INDEX($J$3:$L$7,MATCH(B6,$I$3:$I$7,0),IF(UPPER(C6)="BAJA",1,IF(UPPER(C6)="MEDIA",2,3)))</f>
        <v>3</v>
      </c>
      <c r="F6" s="10" t="s">
        <v>20</v>
      </c>
      <c r="G6" s="0" t="n">
        <v>1</v>
      </c>
      <c r="I6" s="6" t="s">
        <v>21</v>
      </c>
      <c r="J6" s="6" t="n">
        <v>7</v>
      </c>
      <c r="K6" s="6" t="n">
        <v>10</v>
      </c>
      <c r="L6" s="6" t="n">
        <v>15</v>
      </c>
    </row>
    <row r="7" customFormat="false" ht="15" hidden="false" customHeight="false" outlineLevel="0" collapsed="false">
      <c r="A7" s="3" t="s">
        <v>22</v>
      </c>
      <c r="B7" s="4" t="s">
        <v>11</v>
      </c>
      <c r="C7" s="4" t="s">
        <v>18</v>
      </c>
      <c r="D7" s="4" t="n">
        <f aca="false">INDEX($J$3:$L$7,MATCH(B7,$I$3:$I$7,0),IF(UPPER(C7)="BAJA",1,IF(UPPER(C7)="MEDIA",2,3)))</f>
        <v>3</v>
      </c>
      <c r="F7" s="11" t="s">
        <v>23</v>
      </c>
      <c r="G7" s="0" t="n">
        <v>0</v>
      </c>
      <c r="I7" s="6" t="s">
        <v>24</v>
      </c>
      <c r="J7" s="6" t="n">
        <v>5</v>
      </c>
      <c r="K7" s="6" t="n">
        <v>7</v>
      </c>
      <c r="L7" s="6" t="n">
        <v>10</v>
      </c>
    </row>
    <row r="8" customFormat="false" ht="15" hidden="false" customHeight="false" outlineLevel="0" collapsed="false">
      <c r="A8" s="7" t="s">
        <v>25</v>
      </c>
      <c r="B8" s="8" t="s">
        <v>11</v>
      </c>
      <c r="C8" s="8" t="s">
        <v>18</v>
      </c>
      <c r="D8" s="8" t="n">
        <f aca="false">INDEX($J$3:$L$7,MATCH(B8,$I$3:$I$7,0),IF(UPPER(C8)="BAJA",1,IF(UPPER(C8)="MEDIA",2,3)))</f>
        <v>3</v>
      </c>
      <c r="F8" s="11" t="s">
        <v>26</v>
      </c>
      <c r="G8" s="0" t="n">
        <v>1</v>
      </c>
    </row>
    <row r="9" customFormat="false" ht="15" hidden="false" customHeight="false" outlineLevel="0" collapsed="false">
      <c r="A9" s="7" t="s">
        <v>27</v>
      </c>
      <c r="B9" s="8" t="s">
        <v>17</v>
      </c>
      <c r="C9" s="8" t="s">
        <v>18</v>
      </c>
      <c r="D9" s="8" t="n">
        <f aca="false">INDEX($J$3:$L$7,MATCH(B9,$I$3:$I$7,0),IF(UPPER(C9)="BAJA",1,IF(UPPER(C9)="MEDIA",2,3)))</f>
        <v>3</v>
      </c>
      <c r="F9" s="12" t="s">
        <v>28</v>
      </c>
      <c r="G9" s="0" t="n">
        <v>1</v>
      </c>
    </row>
    <row r="10" customFormat="false" ht="15" hidden="false" customHeight="false" outlineLevel="0" collapsed="false">
      <c r="A10" s="7" t="s">
        <v>29</v>
      </c>
      <c r="B10" s="8" t="s">
        <v>11</v>
      </c>
      <c r="C10" s="8" t="s">
        <v>12</v>
      </c>
      <c r="D10" s="8" t="n">
        <f aca="false">INDEX($J$3:$L$7,MATCH(B10,$I$3:$I$7,0),IF(UPPER(C10)="BAJA",1,IF(UPPER(C10)="MEDIA",2,3)))</f>
        <v>4</v>
      </c>
      <c r="G10" s="0" t="n">
        <v>1</v>
      </c>
    </row>
    <row r="11" customFormat="false" ht="15" hidden="false" customHeight="false" outlineLevel="0" collapsed="false">
      <c r="A11" s="3" t="s">
        <v>30</v>
      </c>
      <c r="B11" s="4" t="s">
        <v>11</v>
      </c>
      <c r="C11" s="4" t="s">
        <v>12</v>
      </c>
      <c r="D11" s="4" t="n">
        <f aca="false">INDEX($J$3:$L$7,MATCH(B11,$I$3:$I$7,0),IF(UPPER(C11)="BAJA",1,IF(UPPER(C11)="MEDIA",2,3)))</f>
        <v>4</v>
      </c>
      <c r="G11" s="0" t="n">
        <v>0</v>
      </c>
    </row>
    <row r="12" customFormat="false" ht="15" hidden="false" customHeight="false" outlineLevel="0" collapsed="false">
      <c r="A12" s="7" t="s">
        <v>31</v>
      </c>
      <c r="B12" s="8" t="s">
        <v>17</v>
      </c>
      <c r="C12" s="8" t="s">
        <v>18</v>
      </c>
      <c r="D12" s="8" t="n">
        <f aca="false">INDEX($J$3:$L$7,MATCH(B12,$I$3:$I$7,0),IF(UPPER(C12)="BAJA",1,IF(UPPER(C12)="MEDIA",2,3)))</f>
        <v>3</v>
      </c>
      <c r="G12" s="0" t="n">
        <v>1</v>
      </c>
    </row>
    <row r="13" customFormat="false" ht="15" hidden="false" customHeight="false" outlineLevel="0" collapsed="false">
      <c r="A13" s="7" t="s">
        <v>32</v>
      </c>
      <c r="B13" s="8" t="s">
        <v>11</v>
      </c>
      <c r="C13" s="8" t="s">
        <v>12</v>
      </c>
      <c r="D13" s="8" t="n">
        <f aca="false">INDEX($J$3:$L$7,MATCH(B13,$I$3:$I$7,0),IF(UPPER(C13)="BAJA",1,IF(UPPER(C13)="MEDIA",2,3)))</f>
        <v>4</v>
      </c>
      <c r="G13" s="0" t="n">
        <v>1</v>
      </c>
    </row>
    <row r="14" customFormat="false" ht="15" hidden="false" customHeight="false" outlineLevel="0" collapsed="false">
      <c r="A14" s="3" t="s">
        <v>33</v>
      </c>
      <c r="B14" s="4" t="s">
        <v>11</v>
      </c>
      <c r="C14" s="4" t="s">
        <v>12</v>
      </c>
      <c r="D14" s="4" t="n">
        <f aca="false">INDEX($J$3:$L$7,MATCH(B14,$I$3:$I$7,0),IF(UPPER(C14)="BAJA",1,IF(UPPER(C14)="MEDIA",2,3)))</f>
        <v>4</v>
      </c>
      <c r="G14" s="0" t="n">
        <v>0</v>
      </c>
    </row>
    <row r="15" customFormat="false" ht="15" hidden="false" customHeight="false" outlineLevel="0" collapsed="false">
      <c r="A15" s="7" t="s">
        <v>34</v>
      </c>
      <c r="B15" s="8" t="s">
        <v>11</v>
      </c>
      <c r="C15" s="8" t="s">
        <v>12</v>
      </c>
      <c r="D15" s="8" t="n">
        <f aca="false">INDEX($J$3:$L$7,MATCH(B15,$I$3:$I$7,0),IF(UPPER(C15)="BAJA",1,IF(UPPER(C15)="MEDIA",2,3)))</f>
        <v>4</v>
      </c>
      <c r="G15" s="0" t="n">
        <v>1</v>
      </c>
    </row>
    <row r="16" customFormat="false" ht="15" hidden="false" customHeight="false" outlineLevel="0" collapsed="false">
      <c r="A16" s="7" t="s">
        <v>35</v>
      </c>
      <c r="B16" s="8" t="s">
        <v>11</v>
      </c>
      <c r="C16" s="8" t="s">
        <v>36</v>
      </c>
      <c r="D16" s="8" t="n">
        <f aca="false">INDEX($J$3:$L$7,MATCH(B16,$I$3:$I$7,0),IF(UPPER(C16)="BAJA",1,IF(UPPER(C16)="MEDIA",2,3)))</f>
        <v>6</v>
      </c>
      <c r="G16" s="0" t="n">
        <v>1</v>
      </c>
    </row>
    <row r="17" customFormat="false" ht="15" hidden="false" customHeight="false" outlineLevel="0" collapsed="false">
      <c r="A17" s="7" t="s">
        <v>37</v>
      </c>
      <c r="B17" s="8" t="s">
        <v>11</v>
      </c>
      <c r="C17" s="8" t="s">
        <v>18</v>
      </c>
      <c r="D17" s="8" t="n">
        <f aca="false">INDEX($J$3:$L$7,MATCH(B17,$I$3:$I$7,0),IF(UPPER(C17)="BAJA",1,IF(UPPER(C17)="MEDIA",2,3)))</f>
        <v>3</v>
      </c>
      <c r="G17" s="0" t="n">
        <v>1</v>
      </c>
    </row>
    <row r="18" customFormat="false" ht="15" hidden="false" customHeight="false" outlineLevel="0" collapsed="false">
      <c r="A18" s="3" t="s">
        <v>38</v>
      </c>
      <c r="B18" s="4" t="s">
        <v>17</v>
      </c>
      <c r="C18" s="4" t="s">
        <v>12</v>
      </c>
      <c r="D18" s="4" t="n">
        <f aca="false">INDEX($J$3:$L$7,MATCH(B18,$I$3:$I$7,0),IF(UPPER(C18)="BAJA",1,IF(UPPER(C18)="MEDIA",2,3)))</f>
        <v>4</v>
      </c>
      <c r="G18" s="0" t="n">
        <v>0</v>
      </c>
    </row>
    <row r="19" customFormat="false" ht="15" hidden="false" customHeight="false" outlineLevel="0" collapsed="false">
      <c r="A19" s="7" t="s">
        <v>39</v>
      </c>
      <c r="B19" s="8" t="s">
        <v>11</v>
      </c>
      <c r="C19" s="8" t="s">
        <v>18</v>
      </c>
      <c r="D19" s="8" t="n">
        <f aca="false">INDEX($J$3:$L$7,MATCH(B19,$I$3:$I$7,0),IF(UPPER(C19)="BAJA",1,IF(UPPER(C19)="MEDIA",2,3)))</f>
        <v>3</v>
      </c>
      <c r="G19" s="0" t="n">
        <v>1</v>
      </c>
    </row>
    <row r="20" customFormat="false" ht="15" hidden="false" customHeight="false" outlineLevel="0" collapsed="false">
      <c r="A20" s="7" t="s">
        <v>40</v>
      </c>
      <c r="B20" s="8" t="s">
        <v>17</v>
      </c>
      <c r="C20" s="8" t="s">
        <v>12</v>
      </c>
      <c r="D20" s="8" t="n">
        <f aca="false">INDEX($J$3:$L$7,MATCH(B20,$I$3:$I$7,0),IF(UPPER(C20)="BAJA",1,IF(UPPER(C20)="MEDIA",2,3)))</f>
        <v>4</v>
      </c>
      <c r="G20" s="0" t="n">
        <v>1</v>
      </c>
    </row>
    <row r="21" customFormat="false" ht="15" hidden="false" customHeight="false" outlineLevel="0" collapsed="false">
      <c r="A21" s="3" t="s">
        <v>41</v>
      </c>
      <c r="B21" s="4" t="s">
        <v>17</v>
      </c>
      <c r="C21" s="4" t="s">
        <v>18</v>
      </c>
      <c r="D21" s="4" t="n">
        <f aca="false">INDEX($J$3:$L$7,MATCH(B21,$I$3:$I$7,0),IF(UPPER(C21)="BAJA",1,IF(UPPER(C21)="MEDIA",2,3)))</f>
        <v>3</v>
      </c>
      <c r="G21" s="0" t="n">
        <v>0</v>
      </c>
    </row>
    <row r="22" customFormat="false" ht="15" hidden="false" customHeight="false" outlineLevel="0" collapsed="false">
      <c r="A22" s="7" t="s">
        <v>42</v>
      </c>
      <c r="B22" s="8" t="s">
        <v>17</v>
      </c>
      <c r="C22" s="8" t="s">
        <v>18</v>
      </c>
      <c r="D22" s="8" t="n">
        <f aca="false">INDEX($J$3:$L$7,MATCH(B22,$I$3:$I$7,0),IF(UPPER(C22)="BAJA",1,IF(UPPER(C22)="MEDIA",2,3)))</f>
        <v>3</v>
      </c>
      <c r="G22" s="0" t="n">
        <v>1</v>
      </c>
    </row>
    <row r="23" customFormat="false" ht="15" hidden="false" customHeight="false" outlineLevel="0" collapsed="false">
      <c r="A23" s="7" t="s">
        <v>43</v>
      </c>
      <c r="B23" s="8" t="s">
        <v>17</v>
      </c>
      <c r="C23" s="8" t="s">
        <v>18</v>
      </c>
      <c r="D23" s="8" t="n">
        <f aca="false">INDEX($J$3:$L$7,MATCH(B23,$I$3:$I$7,0),IF(UPPER(C23)="BAJA",1,IF(UPPER(C23)="MEDIA",2,3)))</f>
        <v>3</v>
      </c>
      <c r="G23" s="0" t="n">
        <v>1</v>
      </c>
    </row>
    <row r="24" customFormat="false" ht="15" hidden="false" customHeight="false" outlineLevel="0" collapsed="false">
      <c r="A24" s="3" t="s">
        <v>44</v>
      </c>
      <c r="B24" s="4" t="s">
        <v>11</v>
      </c>
      <c r="C24" s="4" t="s">
        <v>36</v>
      </c>
      <c r="D24" s="4" t="n">
        <f aca="false">INDEX($J$3:$L$7,MATCH(B24,$I$3:$I$7,0),IF(UPPER(C24)="BAJA",1,IF(UPPER(C24)="MEDIA",2,3)))</f>
        <v>6</v>
      </c>
      <c r="G24" s="0" t="n">
        <v>0</v>
      </c>
    </row>
    <row r="25" customFormat="false" ht="15" hidden="false" customHeight="false" outlineLevel="0" collapsed="false">
      <c r="A25" s="7" t="s">
        <v>45</v>
      </c>
      <c r="B25" s="8" t="s">
        <v>11</v>
      </c>
      <c r="C25" s="8" t="s">
        <v>12</v>
      </c>
      <c r="D25" s="8" t="n">
        <f aca="false">INDEX($J$3:$L$7,MATCH(B25,$I$3:$I$7,0),IF(UPPER(C25)="BAJA",1,IF(UPPER(C25)="MEDIA",2,3)))</f>
        <v>4</v>
      </c>
      <c r="G25" s="0" t="n">
        <v>1</v>
      </c>
    </row>
    <row r="26" customFormat="false" ht="15" hidden="false" customHeight="false" outlineLevel="0" collapsed="false">
      <c r="A26" s="7" t="s">
        <v>46</v>
      </c>
      <c r="B26" s="8" t="s">
        <v>17</v>
      </c>
      <c r="C26" s="8" t="s">
        <v>12</v>
      </c>
      <c r="D26" s="8" t="n">
        <f aca="false">INDEX($J$3:$L$7,MATCH(B26,$I$3:$I$7,0),IF(UPPER(C26)="BAJA",1,IF(UPPER(C26)="MEDIA",2,3)))</f>
        <v>4</v>
      </c>
      <c r="G26" s="0" t="n">
        <v>1</v>
      </c>
    </row>
    <row r="27" customFormat="false" ht="15" hidden="false" customHeight="false" outlineLevel="0" collapsed="false">
      <c r="A27" s="3" t="s">
        <v>47</v>
      </c>
      <c r="B27" s="4" t="s">
        <v>15</v>
      </c>
      <c r="C27" s="4" t="s">
        <v>36</v>
      </c>
      <c r="D27" s="4" t="n">
        <f aca="false">INDEX($J$3:$L$7,MATCH(B27,$I$3:$I$7,0),IF(UPPER(C27)="BAJA",1,IF(UPPER(C27)="MEDIA",2,3)))</f>
        <v>7</v>
      </c>
      <c r="G27" s="0" t="n">
        <v>0</v>
      </c>
    </row>
    <row r="28" customFormat="false" ht="15" hidden="false" customHeight="false" outlineLevel="0" collapsed="false">
      <c r="A28" s="7" t="s">
        <v>48</v>
      </c>
      <c r="B28" s="8" t="s">
        <v>15</v>
      </c>
      <c r="C28" s="8" t="s">
        <v>12</v>
      </c>
      <c r="D28" s="8" t="n">
        <f aca="false">INDEX($J$3:$L$7,MATCH(B28,$I$3:$I$7,0),IF(UPPER(C28)="BAJA",1,IF(UPPER(C28)="MEDIA",2,3)))</f>
        <v>5</v>
      </c>
      <c r="G28" s="0" t="n">
        <v>1</v>
      </c>
    </row>
    <row r="29" customFormat="false" ht="15" hidden="false" customHeight="false" outlineLevel="0" collapsed="false">
      <c r="A29" s="7" t="s">
        <v>49</v>
      </c>
      <c r="B29" s="8" t="s">
        <v>15</v>
      </c>
      <c r="C29" s="8" t="s">
        <v>36</v>
      </c>
      <c r="D29" s="8" t="n">
        <f aca="false">INDEX($J$3:$L$7,MATCH(B29,$I$3:$I$7,0),IF(UPPER(C29)="BAJA",1,IF(UPPER(C29)="MEDIA",2,3)))</f>
        <v>7</v>
      </c>
      <c r="G29" s="0" t="n">
        <v>1</v>
      </c>
    </row>
    <row r="30" customFormat="false" ht="15" hidden="false" customHeight="false" outlineLevel="0" collapsed="false">
      <c r="A30" s="7" t="s">
        <v>50</v>
      </c>
      <c r="B30" s="8" t="s">
        <v>17</v>
      </c>
      <c r="C30" s="8" t="s">
        <v>18</v>
      </c>
      <c r="D30" s="8" t="n">
        <f aca="false">INDEX($J$3:$L$7,MATCH(B30,$I$3:$I$7,0),IF(UPPER(C30)="BAJA",1,IF(UPPER(C30)="MEDIA",2,3)))</f>
        <v>3</v>
      </c>
      <c r="G30" s="0" t="n">
        <v>1</v>
      </c>
    </row>
    <row r="31" customFormat="false" ht="15" hidden="false" customHeight="false" outlineLevel="0" collapsed="false">
      <c r="A31" s="3" t="s">
        <v>51</v>
      </c>
      <c r="B31" s="4" t="s">
        <v>11</v>
      </c>
      <c r="C31" s="4" t="s">
        <v>36</v>
      </c>
      <c r="D31" s="4" t="n">
        <f aca="false">INDEX($J$3:$L$7,MATCH(B31,$I$3:$I$7,0),IF(UPPER(C31)="BAJA",1,IF(UPPER(C31)="MEDIA",2,3)))</f>
        <v>6</v>
      </c>
      <c r="G31" s="0" t="n">
        <v>0</v>
      </c>
    </row>
    <row r="32" customFormat="false" ht="15" hidden="false" customHeight="false" outlineLevel="0" collapsed="false">
      <c r="A32" s="7" t="s">
        <v>52</v>
      </c>
      <c r="B32" s="8" t="s">
        <v>11</v>
      </c>
      <c r="C32" s="8" t="s">
        <v>12</v>
      </c>
      <c r="D32" s="8" t="n">
        <f aca="false">INDEX($J$3:$L$7,MATCH(B32,$I$3:$I$7,0),IF(UPPER(C32)="BAJA",1,IF(UPPER(C32)="MEDIA",2,3)))</f>
        <v>4</v>
      </c>
      <c r="G32" s="0" t="n">
        <v>1</v>
      </c>
    </row>
    <row r="33" customFormat="false" ht="15" hidden="false" customHeight="false" outlineLevel="0" collapsed="false">
      <c r="A33" s="7" t="s">
        <v>53</v>
      </c>
      <c r="B33" s="8" t="s">
        <v>17</v>
      </c>
      <c r="C33" s="8" t="s">
        <v>18</v>
      </c>
      <c r="D33" s="8" t="n">
        <f aca="false">INDEX($J$3:$L$7,MATCH(B33,$I$3:$I$7,0),IF(UPPER(C33)="BAJA",1,IF(UPPER(C33)="MEDIA",2,3)))</f>
        <v>3</v>
      </c>
      <c r="G33" s="0" t="n">
        <v>1</v>
      </c>
    </row>
    <row r="34" customFormat="false" ht="15" hidden="false" customHeight="false" outlineLevel="0" collapsed="false">
      <c r="A34" s="7" t="s">
        <v>54</v>
      </c>
      <c r="B34" s="8" t="s">
        <v>11</v>
      </c>
      <c r="C34" s="8" t="s">
        <v>12</v>
      </c>
      <c r="D34" s="8" t="n">
        <f aca="false">INDEX($J$3:$L$7,MATCH(B34,$I$3:$I$7,0),IF(UPPER(C34)="BAJA",1,IF(UPPER(C34)="MEDIA",2,3)))</f>
        <v>4</v>
      </c>
      <c r="G34" s="0" t="n">
        <v>1</v>
      </c>
    </row>
    <row r="35" customFormat="false" ht="15" hidden="false" customHeight="false" outlineLevel="0" collapsed="false">
      <c r="A35" s="3" t="s">
        <v>55</v>
      </c>
      <c r="B35" s="4" t="s">
        <v>21</v>
      </c>
      <c r="C35" s="4" t="s">
        <v>36</v>
      </c>
      <c r="D35" s="4" t="n">
        <f aca="false">INDEX($J$3:$L$7,MATCH(B35,$I$3:$I$7,0),IF(UPPER(C35)="BAJA",1,IF(UPPER(C35)="MEDIA",2,3)))</f>
        <v>15</v>
      </c>
      <c r="G35" s="0" t="n">
        <v>0</v>
      </c>
    </row>
    <row r="36" customFormat="false" ht="15" hidden="false" customHeight="false" outlineLevel="0" collapsed="false">
      <c r="A36" s="7" t="s">
        <v>56</v>
      </c>
      <c r="B36" s="8" t="s">
        <v>11</v>
      </c>
      <c r="C36" s="8" t="s">
        <v>12</v>
      </c>
      <c r="D36" s="8" t="n">
        <f aca="false">INDEX($J$3:$L$7,MATCH(B36,$I$3:$I$7,0),IF(UPPER(C36)="BAJA",1,IF(UPPER(C36)="MEDIA",2,3)))</f>
        <v>4</v>
      </c>
      <c r="G36" s="0" t="n">
        <v>1</v>
      </c>
    </row>
    <row r="37" customFormat="false" ht="15" hidden="false" customHeight="false" outlineLevel="0" collapsed="false">
      <c r="A37" s="7" t="s">
        <v>57</v>
      </c>
      <c r="B37" s="8" t="s">
        <v>17</v>
      </c>
      <c r="C37" s="8" t="s">
        <v>12</v>
      </c>
      <c r="D37" s="8" t="n">
        <f aca="false">INDEX($J$3:$L$7,MATCH(B37,$I$3:$I$7,0),IF(UPPER(C37)="BAJA",1,IF(UPPER(C37)="MEDIA",2,3)))</f>
        <v>4</v>
      </c>
      <c r="G37" s="0" t="n">
        <v>1</v>
      </c>
    </row>
    <row r="38" customFormat="false" ht="15" hidden="false" customHeight="false" outlineLevel="0" collapsed="false">
      <c r="A38" s="7" t="s">
        <v>58</v>
      </c>
      <c r="B38" s="8" t="s">
        <v>21</v>
      </c>
      <c r="C38" s="8" t="s">
        <v>36</v>
      </c>
      <c r="D38" s="8" t="n">
        <f aca="false">INDEX($J$3:$L$7,MATCH(B38,$I$3:$I$7,0),IF(UPPER(C38)="BAJA",1,IF(UPPER(C38)="MEDIA",2,3)))</f>
        <v>15</v>
      </c>
      <c r="G38" s="0" t="n">
        <v>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3" t="s">
        <v>59</v>
      </c>
      <c r="B1" s="13"/>
      <c r="C1" s="13"/>
      <c r="D1" s="13"/>
    </row>
    <row r="3" customFormat="false" ht="15" hidden="false" customHeight="false" outlineLevel="0" collapsed="false">
      <c r="A3" s="2" t="s">
        <v>2</v>
      </c>
      <c r="B3" s="2" t="s">
        <v>60</v>
      </c>
      <c r="C3" s="2" t="s">
        <v>4</v>
      </c>
      <c r="D3" s="2" t="s">
        <v>61</v>
      </c>
    </row>
    <row r="4" customFormat="false" ht="15" hidden="false" customHeight="false" outlineLevel="0" collapsed="false">
      <c r="A4" s="14" t="s">
        <v>11</v>
      </c>
      <c r="B4" s="14" t="n">
        <f aca="false">COUNTIFS(DETALLE!$B$3:$B$38,A4,DETALLE!$G$3:$G$38,1)</f>
        <v>13</v>
      </c>
      <c r="C4" s="14" t="n">
        <f aca="false">SUMIFS(DETALLE!$D$3:$D$38,DETALLE!$B$3:$B$38,A4,DETALLE!$G$3:$G$38,1)</f>
        <v>50</v>
      </c>
      <c r="D4" s="15" t="n">
        <f aca="false">IFERROR(C4/$C$9,0)</f>
        <v>0.454545454545455</v>
      </c>
    </row>
    <row r="5" customFormat="false" ht="15" hidden="false" customHeight="false" outlineLevel="0" collapsed="false">
      <c r="A5" s="14" t="s">
        <v>15</v>
      </c>
      <c r="B5" s="14" t="n">
        <f aca="false">COUNTIFS(DETALLE!$B$3:$B$38,A5,DETALLE!$G$3:$G$38,1)</f>
        <v>2</v>
      </c>
      <c r="C5" s="14" t="n">
        <f aca="false">SUMIFS(DETALLE!$D$3:$D$38,DETALLE!$B$3:$B$38,A5,DETALLE!$G$3:$G$38,1)</f>
        <v>12</v>
      </c>
      <c r="D5" s="15" t="n">
        <f aca="false">IFERROR(C5/$C$9,0)</f>
        <v>0.109090909090909</v>
      </c>
    </row>
    <row r="6" customFormat="false" ht="15" hidden="false" customHeight="false" outlineLevel="0" collapsed="false">
      <c r="A6" s="14" t="s">
        <v>17</v>
      </c>
      <c r="B6" s="14" t="n">
        <f aca="false">COUNTIFS(DETALLE!$B$3:$B$38,A6,DETALLE!$G$3:$G$38,1)</f>
        <v>10</v>
      </c>
      <c r="C6" s="14" t="n">
        <f aca="false">SUMIFS(DETALLE!$D$3:$D$38,DETALLE!$B$3:$B$38,A6,DETALLE!$G$3:$G$38,1)</f>
        <v>33</v>
      </c>
      <c r="D6" s="15" t="n">
        <f aca="false">IFERROR(C6/$C$9,0)</f>
        <v>0.3</v>
      </c>
    </row>
    <row r="7" customFormat="false" ht="15" hidden="false" customHeight="false" outlineLevel="0" collapsed="false">
      <c r="A7" s="14" t="s">
        <v>21</v>
      </c>
      <c r="B7" s="14" t="n">
        <f aca="false">COUNTIFS(DETALLE!$B$3:$B$38,A7,DETALLE!$G$3:$G$38,1)</f>
        <v>1</v>
      </c>
      <c r="C7" s="14" t="n">
        <f aca="false">SUMIFS(DETALLE!$D$3:$D$38,DETALLE!$B$3:$B$38,A7,DETALLE!$G$3:$G$38,1)</f>
        <v>15</v>
      </c>
      <c r="D7" s="15" t="n">
        <f aca="false">IFERROR(C7/$C$9,0)</f>
        <v>0.136363636363636</v>
      </c>
    </row>
    <row r="8" customFormat="false" ht="15" hidden="false" customHeight="false" outlineLevel="0" collapsed="false">
      <c r="A8" s="14" t="s">
        <v>24</v>
      </c>
      <c r="B8" s="14" t="n">
        <f aca="false">COUNTIFS(DETALLE!$B$3:$B$38,A8,DETALLE!$G$3:$G$38,1)</f>
        <v>0</v>
      </c>
      <c r="C8" s="14" t="n">
        <f aca="false">SUMIFS(DETALLE!$D$3:$D$38,DETALLE!$B$3:$B$38,A8,DETALLE!$G$3:$G$38,1)</f>
        <v>0</v>
      </c>
      <c r="D8" s="15" t="n">
        <f aca="false">IFERROR(C8/$C$9,0)</f>
        <v>0</v>
      </c>
    </row>
    <row r="9" customFormat="false" ht="15" hidden="false" customHeight="false" outlineLevel="0" collapsed="false">
      <c r="A9" s="16" t="s">
        <v>5</v>
      </c>
      <c r="B9" s="16" t="n">
        <f aca="false">SUM(B4:B8)</f>
        <v>26</v>
      </c>
      <c r="C9" s="16" t="n">
        <f aca="false">SUM(C4:C8)</f>
        <v>110</v>
      </c>
      <c r="D9" s="16" t="s">
        <v>62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2026-05-26T02:09:26Z</dcterms:created>
  <dc:creator>openpyxl</dc:creator>
  <dc:description/>
  <dc:language>en-US</dc:language>
  <cp:lastModifiedBy/>
  <dcterms:modified xsi:type="dcterms:W3CDTF">2026-05-26T02:09:26Z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